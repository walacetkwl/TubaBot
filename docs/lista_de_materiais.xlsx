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sta de compras" sheetId="1" state="visible" r:id="rId3"/>
    <sheet name="Como escolher o anúncio" sheetId="2" state="visible" r:id="rId4"/>
    <sheet name="Fontes e not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<sst xmlns="http://schemas.openxmlformats.org/spreadsheetml/2006/main" count="141" uniqueCount="113">
  <si>
    <t xml:space="preserve">TubaBot v3 (ES3C28P) — lista de materiais por unidade (Brasil)</t>
  </si>
  <si>
    <t xml:space="preserve">Preços em R$ são FAIXAS ESTIMADAS (out/2026) a partir de preços internacionais pesquisados. As páginas do Mercado Livre e da Shopee não puderam ser abertas deste ambiente: os links levam a buscas já filtradas por 'menor preço' e por 'mais vendidos/relevantes' (os anúncios com mais avaliações). Confira no anúncio: nota ≥ 4,5, mais de 50 vendas e a especificação da coluna 'Conferir no anúncio'. Lite = sem bateria; Pro = com bateria.</t>
  </si>
  <si>
    <t xml:space="preserve">#</t>
  </si>
  <si>
    <t xml:space="preserve">Item</t>
  </si>
  <si>
    <t xml:space="preserve">Qtd</t>
  </si>
  <si>
    <t xml:space="preserve">Lite / Pro</t>
  </si>
  <si>
    <t xml:space="preserve">Especificação exata</t>
  </si>
  <si>
    <t xml:space="preserve">Conferir no anúncio</t>
  </si>
  <si>
    <t xml:space="preserve">Mercado Livre — menor preço</t>
  </si>
  <si>
    <t xml:space="preserve">Mercado Livre — mais relevantes</t>
  </si>
  <si>
    <t xml:space="preserve">Shopee — mais vendidos</t>
  </si>
  <si>
    <t xml:space="preserve">Outra fonte (referência)</t>
  </si>
  <si>
    <t xml:space="preserve">Preço mín. estimado (R$)</t>
  </si>
  <si>
    <t xml:space="preserve">Preço máx. estimado (R$)</t>
  </si>
  <si>
    <t xml:space="preserve">Observações</t>
  </si>
  <si>
    <t xml:space="preserve">Placa ES3C28P — ESP32-S3 + tela IPS 2,8" 240×320 com TOQUE CAPACITIVO</t>
  </si>
  <si>
    <t xml:space="preserve">Lite e Pro</t>
  </si>
  <si>
    <t xml:space="preserve">ESP32-S3R8 (16 MB flash, 8 MB PSRAM), ILI9341V, toque FT6336G, codec ES8311 + amplificador + microfone, conector de alto-falante, conector de bateria com carregador TP4054, USB-C</t>
  </si>
  <si>
    <t xml:space="preserve">Modelo exato ES3C28P (o 'C' = capacitivo). NÃO comprar ES3N28P (sem toque) nem a 'ESP32-S3-Touch-LCD-2.8' da Waveshare (outra placa). A foto deve mostrar os conectores SPEAKER e BAT.</t>
  </si>
  <si>
    <t xml:space="preserve">ML · menor preço</t>
  </si>
  <si>
    <t xml:space="preserve">ML · relevantes</t>
  </si>
  <si>
    <t xml:space="preserve">Shopee · mais vendidos</t>
  </si>
  <si>
    <t xml:space="preserve">AliExpress — busca ES3C28P</t>
  </si>
  <si>
    <t xml:space="preserve">Referência internacional ~US$ 15 (fabricante QDtech/LCDWIKI). No AliExpress com o Remessa Conforme costuma sair mais barato que no ML.</t>
  </si>
  <si>
    <t xml:space="preserve">Alto-falante 8 Ω 1,5–2 W (ou 4 Ω 2 W), pequeno</t>
  </si>
  <si>
    <t xml:space="preserve">Cápsula 28–40 mm ou retangular 20×30 mm; 8 Ω 1,5 W ou 4 Ω 2 W (valores da LCDWIKI)</t>
  </si>
  <si>
    <t xml:space="preserve">Impedância e potência; já com fios. Confira o plugue do conector SPEAKER da sua placa (MX1.25 ou PH2.0) — se não bater, use o kit de rabichos.</t>
  </si>
  <si>
    <t xml:space="preserve">Busca geral ML (alto-falante 8 Ω 2 W)</t>
  </si>
  <si>
    <t xml:space="preserve">Kits com 2–5 unidades costumam custar o mesmo que uma.</t>
  </si>
  <si>
    <t xml:space="preserve">Bateria LiPo 3,7 V 1000–1500 mAh</t>
  </si>
  <si>
    <t xml:space="preserve">só Pro</t>
  </si>
  <si>
    <t xml:space="preserve">LiPo 1S 3,7 V com proteção (PCM); 1000 a 1500 mAh; espessura conforme o corpo (ex.: 103040, 803450)</t>
  </si>
  <si>
    <t xml:space="preserve">COM proteção; tamanho que caiba no corpo; plugue compatível com o conector BAT (MX1.25 ou PH2.0). Antes de plugar, confira a polaridade com o multímetro.</t>
  </si>
  <si>
    <t xml:space="preserve">Busca geral ML (bateria 3,7 V 1000 mAh)</t>
  </si>
  <si>
    <t xml:space="preserve">O carregador da placa (TP4054) carrega a até ~0,5 A: 1000–1500 mAh carregam em 2–4 h.</t>
  </si>
  <si>
    <t xml:space="preserve">Kit de rabichos MX1.25 e PH2.0 de 2 vias</t>
  </si>
  <si>
    <t xml:space="preserve">Conectores 2 vias com fio (passo 1,25 mm e 2,0 mm)</t>
  </si>
  <si>
    <t xml:space="preserve">Um kit com os dois passos resolve qualquer diferença entre placa, alto-falante e bateria.</t>
  </si>
  <si>
    <t xml:space="preserve">Exige solda simples (o ferro da v1 serve). Serve para muitas unidades.</t>
  </si>
  <si>
    <t xml:space="preserve">Filamento PLA 1,75 mm na cor do corpo (ou impressão sob encomenda)</t>
  </si>
  <si>
    <t xml:space="preserve">PLA 1 kg nas cores do produto: vermelho, azul, branco ou grafite/preto</t>
  </si>
  <si>
    <t xml:space="preserve">PLA de marca com boas avaliações, na cor da variante. Serviço: envie o STL do corpo do TubaBot.</t>
  </si>
  <si>
    <t xml:space="preserve">Filamento PLA — busca ML</t>
  </si>
  <si>
    <t xml:space="preserve">Um corpo usa ~40–80 g: 1 kg rende vários TubaBots (mínimo = custo por unidade).</t>
  </si>
  <si>
    <t xml:space="preserve">Parafusos M2 × 6 mm (ou M2,5) + porcas/insertos</t>
  </si>
  <si>
    <t xml:space="preserve">Para os 4 furos da placa ES3C28P</t>
  </si>
  <si>
    <t xml:space="preserve">Confira o diâmetro dos furos da sua placa (M2 ou M2,5).</t>
  </si>
  <si>
    <t xml:space="preserve">Kits sortidos M2/M2,5 servem para muitas unidades (preço por parafuso).</t>
  </si>
  <si>
    <t xml:space="preserve">Fita dupla-face de espuma fina</t>
  </si>
  <si>
    <t xml:space="preserve">Fita dupla-face de espuma, 0,8–1 mm, 12 mm</t>
  </si>
  <si>
    <t xml:space="preserve">Espessura ≤ 1 mm.</t>
  </si>
  <si>
    <t xml:space="preserve">Prende a bateria no corpo, longe de cantos vivos.</t>
  </si>
  <si>
    <t xml:space="preserve">TOTAL estimado — TubaBot Lite</t>
  </si>
  <si>
    <t xml:space="preserve">TOTAL estimado — TubaBot Pro</t>
  </si>
  <si>
    <t xml:space="preserve">Peças da v1 (não comprar)</t>
  </si>
  <si>
    <t xml:space="preserve">Situação</t>
  </si>
  <si>
    <t xml:space="preserve">Uso na v3</t>
  </si>
  <si>
    <t xml:space="preserve">Cabo USB-C de dados (Ugreen US287)</t>
  </si>
  <si>
    <t xml:space="preserve">JÁ TENHO (v1)</t>
  </si>
  <si>
    <t xml:space="preserve">Gravação, alimentação e carga (Pro).</t>
  </si>
  <si>
    <t xml:space="preserve">Multímetro Kapbom DT-9205A</t>
  </si>
  <si>
    <t xml:space="preserve">Conferir a polaridade da bateria.</t>
  </si>
  <si>
    <t xml:space="preserve">Ferro de solda 60 W + estanho</t>
  </si>
  <si>
    <t xml:space="preserve">Só para adaptar plugues.</t>
  </si>
  <si>
    <t xml:space="preserve">Ímãs de neodímio 8×2 mm</t>
  </si>
  <si>
    <t xml:space="preserve">Opcional: fecho do corpo.</t>
  </si>
  <si>
    <t xml:space="preserve">ESP32-C3, OLED 0,96", TTP223, buzzer, motor MV50</t>
  </si>
  <si>
    <t xml:space="preserve">NÃO USADOS na v3</t>
  </si>
  <si>
    <t xml:space="preserve">Toda a interação agora é pela tela de toque.</t>
  </si>
  <si>
    <t xml:space="preserve">Critério</t>
  </si>
  <si>
    <t xml:space="preserve">Por quê</t>
  </si>
  <si>
    <t xml:space="preserve">Reputação do vendedor verde (ML) / 'Indicado' ou 'Loja oficial' (Shopee)</t>
  </si>
  <si>
    <t xml:space="preserve">Menor chance de produto errado e devolução fácil</t>
  </si>
  <si>
    <t xml:space="preserve">Nota ≥ 4,5 com 50+ avaliações; leia as avaliações com foto</t>
  </si>
  <si>
    <t xml:space="preserve">Confirma que chega o item da foto</t>
  </si>
  <si>
    <t xml:space="preserve">Placa: o nome ES3C28P aparece no anúncio/placa (C = toque capacitivo)</t>
  </si>
  <si>
    <t xml:space="preserve">ES3N28P não tem toque; a Waveshare 2.8 é outra placa, com outros pinos</t>
  </si>
  <si>
    <t xml:space="preserve">Bateria (Pro): 'com proteção' e tamanho que caiba no corpo</t>
  </si>
  <si>
    <t xml:space="preserve">Segurança e encaixe</t>
  </si>
  <si>
    <t xml:space="preserve">Conectores SPEAKER e BAT: pergunte ao vendedor se são MX1.25 ou PH2.0</t>
  </si>
  <si>
    <t xml:space="preserve">Os dois são comuns nesta família de placas</t>
  </si>
  <si>
    <t xml:space="preserve">Prefira 'Full' (ML) ou envio nacional</t>
  </si>
  <si>
    <t xml:space="preserve">Chega mais rápido, sem taxa de importação surpresa</t>
  </si>
  <si>
    <t xml:space="preserve">Para importados: Remessa Conforme ativo</t>
  </si>
  <si>
    <t xml:space="preserve">Imposto já incluso no preço exibido</t>
  </si>
  <si>
    <t xml:space="preserve">Compare preço + frete; kits de alto-falantes/rabichos/parafusos compensam</t>
  </si>
  <si>
    <t xml:space="preserve">Sobra peça para as próximas unidades</t>
  </si>
  <si>
    <t xml:space="preserve">Fonte</t>
  </si>
  <si>
    <t xml:space="preserve">Link</t>
  </si>
  <si>
    <t xml:space="preserve">O que foi usado</t>
  </si>
  <si>
    <t xml:space="preserve">LCDWIKI — 2.8inch ESP32-S3 Display (ES3C28P)</t>
  </si>
  <si>
    <t xml:space="preserve">https://www.lcdwiki.com/2.8inch_ESP32-S3_Display</t>
  </si>
  <si>
    <t xml:space="preserve">especificações e pinos</t>
  </si>
  <si>
    <t xml:space="preserve">BSP ngttai/esp32_s3_es3c28p</t>
  </si>
  <si>
    <t xml:space="preserve">https://github.com/ngttai/esp32_s3_es3c28p</t>
  </si>
  <si>
    <t xml:space="preserve">mapa de pinos, alto-falante 8 Ω 1,5 W / 4 Ω 2 W, bateria com TP4054</t>
  </si>
  <si>
    <t xml:space="preserve">Launcher — perfil ES3C28P</t>
  </si>
  <si>
    <t xml:space="preserve">https://github.com/bmorcelli/Launcher/issues/373</t>
  </si>
  <si>
    <t xml:space="preserve">pinos de áudio (I²S) e habilitação do amplificador</t>
  </si>
  <si>
    <t xml:space="preserve">Bruce firmware — PR ES3C28P</t>
  </si>
  <si>
    <t xml:space="preserve">https://github.com/BruceDevices/firmware/pull/2178</t>
  </si>
  <si>
    <t xml:space="preserve">preço de referência ~US$ 15</t>
  </si>
  <si>
    <t xml:space="preserve">Alibaba — ES3C28P/ES3N28P</t>
  </si>
  <si>
    <t xml:space="preserve">https://www.alibaba.com/product-detail/ES3C28P-ES3N28P-2-8-inch-ESP32_1601603512242.html</t>
  </si>
  <si>
    <t xml:space="preserve">US$ 12–15 (atacado)</t>
  </si>
  <si>
    <t xml:space="preserve">Mercado Livre — bateria 3,7 V 1000 mAh</t>
  </si>
  <si>
    <t xml:space="preserve">https://lista.mercadolivre.com.br/bateria-3.7v-1000mah</t>
  </si>
  <si>
    <t xml:space="preserve">faixa de preço de baterias</t>
  </si>
  <si>
    <t xml:space="preserve">Mercado Livre — alto-falante 8 Ω 2 W</t>
  </si>
  <si>
    <t xml:space="preserve">https://lista.mercadolivre.com.br/alto-falante-8-ohms-2w</t>
  </si>
  <si>
    <t xml:space="preserve">faixa de preço de alto-falantes</t>
  </si>
  <si>
    <t xml:space="preserve">Nota</t>
  </si>
  <si>
    <t xml:space="preserve">Preços em R$ estimados em 15/10/2026 (câmbio ~R$ 5,4–5,6/US$ + frete/imposto para importados). Confirme no anúncio antes de comprar.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</si>
</sst>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R$ &quot;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A68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u val="single"/>
      <sz val="11"/>
      <color rgb="FF1155CC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1F3A68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68"/>
        <bgColor rgb="FF333399"/>
      </patternFill>
    </fill>
    <fill>
      <patternFill patternType="solid">
        <fgColor rgb="FFFFF6E0"/>
        <bgColor rgb="FFFFFFFF"/>
      </patternFill>
    </fill>
    <fill>
      <patternFill patternType="solid">
        <fgColor rgb="FFE8EEF8"/>
        <bgColor rgb="FFFFF6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0DC"/>
      </left>
      <right style="thin">
        <color rgb="FFC8D0DC"/>
      </right>
      <top style="thin">
        <color rgb="FFC8D0DC"/>
      </top>
      <bottom style="thin">
        <color rgb="FFC8D0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8EEF8"/>
      <rgbColor rgb="FF660066"/>
      <rgbColor rgb="FFFF8080"/>
      <rgbColor rgb="FF1155CC"/>
      <rgbColor rgb="FFC8D0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68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ista.mercadolivre.com.br/es3c28p-esp32-s3-2.8_OrderId_PRICE_NoIndex_True" TargetMode="External"/><Relationship Id="rId2" Type="http://schemas.openxmlformats.org/officeDocument/2006/relationships/hyperlink" Target="https://lista.mercadolivre.com.br/esp32-s3-2.8-tela-touch-capacitiva-es3c28p" TargetMode="External"/><Relationship Id="rId3" Type="http://schemas.openxmlformats.org/officeDocument/2006/relationships/hyperlink" Target="https://shopee.com.br/search?keyword=es3c28p%20esp32%20s3%202.8&amp;sortBy=sales" TargetMode="External"/><Relationship Id="rId4" Type="http://schemas.openxmlformats.org/officeDocument/2006/relationships/hyperlink" Target="https://pt.aliexpress.com/w/wholesale-ES3C28P.html" TargetMode="External"/><Relationship Id="rId5" Type="http://schemas.openxmlformats.org/officeDocument/2006/relationships/hyperlink" Target="https://lista.mercadolivre.com.br/alto-falante-8-ohms-2w-28mm_OrderId_PRICE_NoIndex_True" TargetMode="External"/><Relationship Id="rId6" Type="http://schemas.openxmlformats.org/officeDocument/2006/relationships/hyperlink" Target="https://lista.mercadolivre.com.br/mini-alto-falante-8-ohms-1.5w" TargetMode="External"/><Relationship Id="rId7" Type="http://schemas.openxmlformats.org/officeDocument/2006/relationships/hyperlink" Target="https://shopee.com.br/search?keyword=alto%20falante%208ohm%202w%2028mm&amp;sortBy=sales" TargetMode="External"/><Relationship Id="rId8" Type="http://schemas.openxmlformats.org/officeDocument/2006/relationships/hyperlink" Target="https://lista.mercadolivre.com.br/alto-falante-8-ohms-2w" TargetMode="External"/><Relationship Id="rId9" Type="http://schemas.openxmlformats.org/officeDocument/2006/relationships/hyperlink" Target="https://lista.mercadolivre.com.br/bateria-lipo-3.7v-1000mah_OrderId_PRICE_NoIndex_True" TargetMode="External"/><Relationship Id="rId10" Type="http://schemas.openxmlformats.org/officeDocument/2006/relationships/hyperlink" Target="https://lista.mercadolivre.com.br/bateria-lipo-3.7v-1200mah-com-protecao" TargetMode="External"/><Relationship Id="rId11" Type="http://schemas.openxmlformats.org/officeDocument/2006/relationships/hyperlink" Target="https://shopee.com.br/search?keyword=bateria%20lipo%203.7v%201000mah&amp;sortBy=sales" TargetMode="External"/><Relationship Id="rId12" Type="http://schemas.openxmlformats.org/officeDocument/2006/relationships/hyperlink" Target="https://lista.mercadolivre.com.br/bateria-3.7v-1000mah" TargetMode="External"/><Relationship Id="rId13" Type="http://schemas.openxmlformats.org/officeDocument/2006/relationships/hyperlink" Target="https://lista.mercadolivre.com.br/kit-conector-mx1.25-ph2.0-2-pinos-com-fio_OrderId_PRICE_NoIndex_True" TargetMode="External"/><Relationship Id="rId14" Type="http://schemas.openxmlformats.org/officeDocument/2006/relationships/hyperlink" Target="https://lista.mercadolivre.com.br/cabo-jst-ph2.0-2-vias" TargetMode="External"/><Relationship Id="rId15" Type="http://schemas.openxmlformats.org/officeDocument/2006/relationships/hyperlink" Target="https://shopee.com.br/search?keyword=mx1.25%20ph2.0%202pin%20cabo%20kit&amp;sortBy=sales" TargetMode="External"/><Relationship Id="rId16" Type="http://schemas.openxmlformats.org/officeDocument/2006/relationships/hyperlink" Target="https://lista.mercadolivre.com.br/filamento-pla-1.75mm-1kg_OrderId_PRICE_NoIndex_True" TargetMode="External"/><Relationship Id="rId17" Type="http://schemas.openxmlformats.org/officeDocument/2006/relationships/hyperlink" Target="https://lista.mercadolivre.com.br/filamento-pla-1kg-vermelho" TargetMode="External"/><Relationship Id="rId18" Type="http://schemas.openxmlformats.org/officeDocument/2006/relationships/hyperlink" Target="https://shopee.com.br/search?keyword=filamento%20pla%201.75mm%201kg&amp;sortBy=sales" TargetMode="External"/><Relationship Id="rId19" Type="http://schemas.openxmlformats.org/officeDocument/2006/relationships/hyperlink" Target="https://lista.mercadolivre.com.br/filamento-pla-1.75mm-1kg_OrderId_PRICE_NoIndex_True" TargetMode="External"/><Relationship Id="rId20" Type="http://schemas.openxmlformats.org/officeDocument/2006/relationships/hyperlink" Target="https://lista.mercadolivre.com.br/parafuso-m2-6mm-kit_OrderId_PRICE_NoIndex_True" TargetMode="External"/><Relationship Id="rId21" Type="http://schemas.openxmlformats.org/officeDocument/2006/relationships/hyperlink" Target="https://lista.mercadolivre.com.br/kit-parafuso-m2-m2.5-eletronica" TargetMode="External"/><Relationship Id="rId22" Type="http://schemas.openxmlformats.org/officeDocument/2006/relationships/hyperlink" Target="https://shopee.com.br/search?keyword=parafuso%20m2%206mm&amp;sortBy=sales" TargetMode="External"/><Relationship Id="rId23" Type="http://schemas.openxmlformats.org/officeDocument/2006/relationships/hyperlink" Target="https://lista.mercadolivre.com.br/fita-dupla-face-espuma-fina-12mm_OrderId_PRICE_NoIndex_True" TargetMode="External"/><Relationship Id="rId24" Type="http://schemas.openxmlformats.org/officeDocument/2006/relationships/hyperlink" Target="https://lista.mercadolivre.com.br/fita-dupla-face-3m-fina" TargetMode="External"/><Relationship Id="rId25" Type="http://schemas.openxmlformats.org/officeDocument/2006/relationships/hyperlink" Target="https://shopee.com.br/search?keyword=fita%20dupla%20face%20fina%20espuma&amp;sortBy=sales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cdwiki.com/2.8inch_ESP32-S3_Display" TargetMode="External"/><Relationship Id="rId2" Type="http://schemas.openxmlformats.org/officeDocument/2006/relationships/hyperlink" Target="https://github.com/ngttai/esp32_s3_es3c28p" TargetMode="External"/><Relationship Id="rId3" Type="http://schemas.openxmlformats.org/officeDocument/2006/relationships/hyperlink" Target="https://github.com/bmorcelli/Launcher/issues/373" TargetMode="External"/><Relationship Id="rId4" Type="http://schemas.openxmlformats.org/officeDocument/2006/relationships/hyperlink" Target="https://github.com/BruceDevices/firmware/pull/2178" TargetMode="External"/><Relationship Id="rId5" Type="http://schemas.openxmlformats.org/officeDocument/2006/relationships/hyperlink" Target="https://www.alibaba.com/product-detail/ES3C28P-ES3N28P-2-8-inch-ESP32_1601603512242.html" TargetMode="External"/><Relationship Id="rId6" Type="http://schemas.openxmlformats.org/officeDocument/2006/relationships/hyperlink" Target="https://lista.mercadolivre.com.br/bateria-3.7v-1000mah" TargetMode="External"/><Relationship Id="rId7" Type="http://schemas.openxmlformats.org/officeDocument/2006/relationships/hyperlink" Target="https://lista.mercadolivre.com.br/alto-falante-8-ohms-2w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6"/>
    <col collapsed="false" customWidth="true" hidden="false" outlineLevel="0" max="4" min="4" style="0" width="11"/>
    <col collapsed="false" customWidth="true" hidden="false" outlineLevel="0" max="5" min="5" style="0" width="40"/>
    <col collapsed="false" customWidth="true" hidden="false" outlineLevel="0" max="6" min="6" style="0" width="4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0" min="10" style="0" width="30"/>
    <col collapsed="false" customWidth="true" hidden="false" outlineLevel="0" max="12" min="11" style="0" width="13"/>
    <col collapsed="false" customWidth="true" hidden="false" outlineLevel="0" max="13" min="13" style="0" width="40"/>
  </cols>
  <sheetData>
    <row r="1" customFormat="false" ht="18.55" hidden="false" customHeight="false" outlineLevel="0" collapsed="false">
      <c r="A1" s="1" t="s">
        <v>0</v>
      </c>
    </row>
    <row r="2" customFormat="false" ht="61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96" hidden="false" customHeight="true" outlineLevel="0" collapsed="false">
      <c r="A5" s="4" t="n">
        <v>1</v>
      </c>
      <c r="B5" s="4" t="s">
        <v>15</v>
      </c>
      <c r="C5" s="4" t="n">
        <v>1</v>
      </c>
      <c r="D5" s="4" t="s">
        <v>16</v>
      </c>
      <c r="E5" s="4" t="s">
        <v>17</v>
      </c>
      <c r="F5" s="4" t="s">
        <v>18</v>
      </c>
      <c r="G5" s="5" t="s">
        <v>19</v>
      </c>
      <c r="H5" s="5" t="s">
        <v>20</v>
      </c>
      <c r="I5" s="5" t="s">
        <v>21</v>
      </c>
      <c r="J5" s="5" t="s">
        <v>22</v>
      </c>
      <c r="K5" s="6" t="n">
        <v>90</v>
      </c>
      <c r="L5" s="6" t="n">
        <v>180</v>
      </c>
      <c r="M5" s="4" t="s">
        <v>23</v>
      </c>
    </row>
    <row r="6" customFormat="false" ht="96" hidden="false" customHeight="true" outlineLevel="0" collapsed="false">
      <c r="A6" s="4" t="n">
        <v>2</v>
      </c>
      <c r="B6" s="4" t="s">
        <v>24</v>
      </c>
      <c r="C6" s="4" t="n">
        <v>1</v>
      </c>
      <c r="D6" s="4" t="s">
        <v>16</v>
      </c>
      <c r="E6" s="4" t="s">
        <v>25</v>
      </c>
      <c r="F6" s="4" t="s">
        <v>26</v>
      </c>
      <c r="G6" s="5" t="s">
        <v>19</v>
      </c>
      <c r="H6" s="5" t="s">
        <v>20</v>
      </c>
      <c r="I6" s="5" t="s">
        <v>21</v>
      </c>
      <c r="J6" s="5" t="s">
        <v>27</v>
      </c>
      <c r="K6" s="6" t="n">
        <v>8</v>
      </c>
      <c r="L6" s="6" t="n">
        <v>25</v>
      </c>
      <c r="M6" s="4" t="s">
        <v>28</v>
      </c>
    </row>
    <row r="7" customFormat="false" ht="96" hidden="false" customHeight="true" outlineLevel="0" collapsed="false">
      <c r="A7" s="7" t="n">
        <v>3</v>
      </c>
      <c r="B7" s="7" t="s">
        <v>29</v>
      </c>
      <c r="C7" s="7" t="n">
        <v>1</v>
      </c>
      <c r="D7" s="7" t="s">
        <v>30</v>
      </c>
      <c r="E7" s="7" t="s">
        <v>31</v>
      </c>
      <c r="F7" s="7" t="s">
        <v>32</v>
      </c>
      <c r="G7" s="8" t="s">
        <v>19</v>
      </c>
      <c r="H7" s="8" t="s">
        <v>20</v>
      </c>
      <c r="I7" s="8" t="s">
        <v>21</v>
      </c>
      <c r="J7" s="8" t="s">
        <v>33</v>
      </c>
      <c r="K7" s="9" t="n">
        <v>25</v>
      </c>
      <c r="L7" s="9" t="n">
        <v>55</v>
      </c>
      <c r="M7" s="7" t="s">
        <v>34</v>
      </c>
    </row>
    <row r="8" customFormat="false" ht="96" hidden="false" customHeight="true" outlineLevel="0" collapsed="false">
      <c r="A8" s="4" t="n">
        <v>4</v>
      </c>
      <c r="B8" s="4" t="s">
        <v>35</v>
      </c>
      <c r="C8" s="4" t="n">
        <v>1</v>
      </c>
      <c r="D8" s="4" t="s">
        <v>16</v>
      </c>
      <c r="E8" s="4" t="s">
        <v>36</v>
      </c>
      <c r="F8" s="4" t="s">
        <v>37</v>
      </c>
      <c r="G8" s="5" t="s">
        <v>19</v>
      </c>
      <c r="H8" s="5" t="s">
        <v>20</v>
      </c>
      <c r="I8" s="5" t="s">
        <v>21</v>
      </c>
      <c r="J8" s="4"/>
      <c r="K8" s="6" t="n">
        <v>12</v>
      </c>
      <c r="L8" s="6" t="n">
        <v>35</v>
      </c>
      <c r="M8" s="4" t="s">
        <v>38</v>
      </c>
    </row>
    <row r="9" customFormat="false" ht="96" hidden="false" customHeight="true" outlineLevel="0" collapsed="false">
      <c r="A9" s="4" t="n">
        <v>5</v>
      </c>
      <c r="B9" s="4" t="s">
        <v>39</v>
      </c>
      <c r="C9" s="4" t="n">
        <v>1</v>
      </c>
      <c r="D9" s="4" t="s">
        <v>16</v>
      </c>
      <c r="E9" s="4" t="s">
        <v>40</v>
      </c>
      <c r="F9" s="4" t="s">
        <v>41</v>
      </c>
      <c r="G9" s="5" t="s">
        <v>19</v>
      </c>
      <c r="H9" s="5" t="s">
        <v>20</v>
      </c>
      <c r="I9" s="5" t="s">
        <v>21</v>
      </c>
      <c r="J9" s="5" t="s">
        <v>42</v>
      </c>
      <c r="K9" s="6" t="n">
        <v>15</v>
      </c>
      <c r="L9" s="6" t="n">
        <v>120</v>
      </c>
      <c r="M9" s="4" t="s">
        <v>43</v>
      </c>
    </row>
    <row r="10" customFormat="false" ht="96" hidden="false" customHeight="true" outlineLevel="0" collapsed="false">
      <c r="A10" s="4" t="n">
        <v>6</v>
      </c>
      <c r="B10" s="4" t="s">
        <v>44</v>
      </c>
      <c r="C10" s="4" t="n">
        <v>4</v>
      </c>
      <c r="D10" s="4" t="s">
        <v>16</v>
      </c>
      <c r="E10" s="4" t="s">
        <v>45</v>
      </c>
      <c r="F10" s="4" t="s">
        <v>46</v>
      </c>
      <c r="G10" s="5" t="s">
        <v>19</v>
      </c>
      <c r="H10" s="5" t="s">
        <v>20</v>
      </c>
      <c r="I10" s="5" t="s">
        <v>21</v>
      </c>
      <c r="J10" s="4"/>
      <c r="K10" s="6" t="n">
        <v>0.5</v>
      </c>
      <c r="L10" s="6" t="n">
        <v>4</v>
      </c>
      <c r="M10" s="4" t="s">
        <v>47</v>
      </c>
    </row>
    <row r="11" customFormat="false" ht="96" hidden="false" customHeight="true" outlineLevel="0" collapsed="false">
      <c r="A11" s="7" t="n">
        <v>7</v>
      </c>
      <c r="B11" s="7" t="s">
        <v>48</v>
      </c>
      <c r="C11" s="7" t="n">
        <v>1</v>
      </c>
      <c r="D11" s="7" t="s">
        <v>30</v>
      </c>
      <c r="E11" s="7" t="s">
        <v>49</v>
      </c>
      <c r="F11" s="7" t="s">
        <v>50</v>
      </c>
      <c r="G11" s="8" t="s">
        <v>19</v>
      </c>
      <c r="H11" s="8" t="s">
        <v>20</v>
      </c>
      <c r="I11" s="8" t="s">
        <v>21</v>
      </c>
      <c r="J11" s="7"/>
      <c r="K11" s="9" t="n">
        <v>2</v>
      </c>
      <c r="L11" s="9" t="n">
        <v>20</v>
      </c>
      <c r="M11" s="7" t="s">
        <v>51</v>
      </c>
    </row>
    <row r="12" customFormat="false" ht="15" hidden="false" customHeight="false" outlineLevel="0" collapsed="false">
      <c r="J12" s="10" t="s">
        <v>52</v>
      </c>
      <c r="K12" s="11" t="n">
        <f aca="false">C5*K5+C6*K6+C8*K8+C9*K9+C10*K10</f>
        <v>127</v>
      </c>
      <c r="L12" s="11" t="n">
        <f aca="false">C5*L5+C6*L6+C8*L8+C9*L9+C10*L10</f>
        <v>376</v>
      </c>
    </row>
    <row r="13" customFormat="false" ht="15" hidden="false" customHeight="false" outlineLevel="0" collapsed="false">
      <c r="J13" s="10" t="s">
        <v>53</v>
      </c>
      <c r="K13" s="11" t="n">
        <f aca="false">C5*K5+C6*K6+C7*K7+C8*K8+C9*K9+C10*K10+C11*K11</f>
        <v>154</v>
      </c>
      <c r="L13" s="11" t="n">
        <f aca="false">C5*L5+C6*L6+C7*L7+C8*L8+C9*L9+C10*L10+C11*L11</f>
        <v>451</v>
      </c>
    </row>
    <row r="15" customFormat="false" ht="15" hidden="false" customHeight="false" outlineLevel="0" collapsed="false">
      <c r="A15" s="12" t="s">
        <v>54</v>
      </c>
    </row>
    <row r="16" customFormat="false" ht="15" hidden="false" customHeight="false" outlineLevel="0" collapsed="false">
      <c r="A16" s="13" t="s">
        <v>2</v>
      </c>
      <c r="B16" s="13" t="s">
        <v>3</v>
      </c>
      <c r="C16" s="13" t="s">
        <v>55</v>
      </c>
      <c r="D16" s="13" t="s">
        <v>56</v>
      </c>
    </row>
    <row r="17" customFormat="false" ht="55.2" hidden="false" customHeight="false" outlineLevel="0" collapsed="false">
      <c r="A17" s="14" t="n">
        <v>1</v>
      </c>
      <c r="B17" s="14" t="s">
        <v>57</v>
      </c>
      <c r="C17" s="14" t="s">
        <v>58</v>
      </c>
      <c r="D17" s="14" t="s">
        <v>59</v>
      </c>
    </row>
    <row r="18" customFormat="false" ht="41.75" hidden="false" customHeight="false" outlineLevel="0" collapsed="false">
      <c r="A18" s="14" t="n">
        <v>2</v>
      </c>
      <c r="B18" s="14" t="s">
        <v>60</v>
      </c>
      <c r="C18" s="14" t="s">
        <v>58</v>
      </c>
      <c r="D18" s="14" t="s">
        <v>61</v>
      </c>
    </row>
    <row r="19" customFormat="false" ht="41.75" hidden="false" customHeight="false" outlineLevel="0" collapsed="false">
      <c r="A19" s="14" t="n">
        <v>3</v>
      </c>
      <c r="B19" s="14" t="s">
        <v>62</v>
      </c>
      <c r="C19" s="14" t="s">
        <v>58</v>
      </c>
      <c r="D19" s="14" t="s">
        <v>63</v>
      </c>
    </row>
    <row r="20" customFormat="false" ht="41.75" hidden="false" customHeight="false" outlineLevel="0" collapsed="false">
      <c r="A20" s="14" t="n">
        <v>4</v>
      </c>
      <c r="B20" s="14" t="s">
        <v>64</v>
      </c>
      <c r="C20" s="14" t="s">
        <v>58</v>
      </c>
      <c r="D20" s="14" t="s">
        <v>65</v>
      </c>
    </row>
    <row r="21" customFormat="false" ht="68.65" hidden="false" customHeight="false" outlineLevel="0" collapsed="false">
      <c r="A21" s="14" t="n">
        <v>5</v>
      </c>
      <c r="B21" s="14" t="s">
        <v>66</v>
      </c>
      <c r="C21" s="14" t="s">
        <v>67</v>
      </c>
      <c r="D21" s="14" t="s">
        <v>68</v>
      </c>
    </row>
  </sheetData>
  <mergeCells count="1">
    <mergeCell ref="A2:M2"/>
  </mergeCells>
  <hyperlinks>
    <hyperlink ref="G5" r:id="rId1" display="ML · menor preço"/>
    <hyperlink ref="H5" r:id="rId2" display="ML · relevantes"/>
    <hyperlink ref="I5" r:id="rId3" display="Shopee · mais vendidos"/>
    <hyperlink ref="J5" r:id="rId4" display="AliExpress — busca ES3C28P"/>
    <hyperlink ref="G6" r:id="rId5" display="ML · menor preço"/>
    <hyperlink ref="H6" r:id="rId6" display="ML · relevantes"/>
    <hyperlink ref="I6" r:id="rId7" display="Shopee · mais vendidos"/>
    <hyperlink ref="J6" r:id="rId8" display="Busca geral ML (alto-falante 8 Ω 2 W)"/>
    <hyperlink ref="G7" r:id="rId9" display="ML · menor preço"/>
    <hyperlink ref="H7" r:id="rId10" display="ML · relevantes"/>
    <hyperlink ref="I7" r:id="rId11" display="Shopee · mais vendidos"/>
    <hyperlink ref="J7" r:id="rId12" display="Busca geral ML (bateria 3,7 V 1000 mAh)"/>
    <hyperlink ref="G8" r:id="rId13" display="ML · menor preço"/>
    <hyperlink ref="H8" r:id="rId14" display="ML · relevantes"/>
    <hyperlink ref="I8" r:id="rId15" display="Shopee · mais vendidos"/>
    <hyperlink ref="G9" r:id="rId16" display="ML · menor preço"/>
    <hyperlink ref="H9" r:id="rId17" display="ML · relevantes"/>
    <hyperlink ref="I9" r:id="rId18" display="Shopee · mais vendidos"/>
    <hyperlink ref="J9" r:id="rId19" display="Filamento PLA — busca ML"/>
    <hyperlink ref="G10" r:id="rId20" display="ML · menor preço"/>
    <hyperlink ref="H10" r:id="rId21" display="ML · relevantes"/>
    <hyperlink ref="I10" r:id="rId22" display="Shopee · mais vendidos"/>
    <hyperlink ref="G11" r:id="rId23" display="ML · menor preço"/>
    <hyperlink ref="H11" r:id="rId24" display="ML · relevantes"/>
    <hyperlink ref="I11" r:id="rId25" display="Shopee · mais vendido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5" t="s">
        <v>69</v>
      </c>
      <c r="B1" s="15" t="s">
        <v>70</v>
      </c>
    </row>
    <row r="2" customFormat="false" ht="15" hidden="false" customHeight="false" outlineLevel="0" collapsed="false">
      <c r="A2" s="16" t="s">
        <v>71</v>
      </c>
      <c r="B2" s="16" t="s">
        <v>72</v>
      </c>
    </row>
    <row r="3" customFormat="false" ht="15" hidden="false" customHeight="false" outlineLevel="0" collapsed="false">
      <c r="A3" s="16" t="s">
        <v>73</v>
      </c>
      <c r="B3" s="16" t="s">
        <v>74</v>
      </c>
    </row>
    <row r="4" customFormat="false" ht="28.35" hidden="false" customHeight="false" outlineLevel="0" collapsed="false">
      <c r="A4" s="16" t="s">
        <v>75</v>
      </c>
      <c r="B4" s="16" t="s">
        <v>76</v>
      </c>
    </row>
    <row r="5" customFormat="false" ht="15" hidden="false" customHeight="false" outlineLevel="0" collapsed="false">
      <c r="A5" s="16" t="s">
        <v>77</v>
      </c>
      <c r="B5" s="16" t="s">
        <v>78</v>
      </c>
    </row>
    <row r="6" customFormat="false" ht="15" hidden="false" customHeight="false" outlineLevel="0" collapsed="false">
      <c r="A6" s="16" t="s">
        <v>79</v>
      </c>
      <c r="B6" s="16" t="s">
        <v>80</v>
      </c>
    </row>
    <row r="7" customFormat="false" ht="15" hidden="false" customHeight="false" outlineLevel="0" collapsed="false">
      <c r="A7" s="16" t="s">
        <v>81</v>
      </c>
      <c r="B7" s="16" t="s">
        <v>82</v>
      </c>
    </row>
    <row r="8" customFormat="false" ht="15" hidden="false" customHeight="false" outlineLevel="0" collapsed="false">
      <c r="A8" s="16" t="s">
        <v>83</v>
      </c>
      <c r="B8" s="16" t="s">
        <v>84</v>
      </c>
    </row>
    <row r="9" customFormat="false" ht="15" hidden="false" customHeight="false" outlineLevel="0" collapsed="false">
      <c r="A9" s="16" t="s">
        <v>85</v>
      </c>
      <c r="B9" s="16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5" t="s">
        <v>87</v>
      </c>
      <c r="B1" s="15" t="s">
        <v>88</v>
      </c>
      <c r="C1" s="15" t="s">
        <v>89</v>
      </c>
    </row>
    <row r="2" customFormat="false" ht="28.35" hidden="false" customHeight="false" outlineLevel="0" collapsed="false">
      <c r="A2" s="16" t="s">
        <v>90</v>
      </c>
      <c r="B2" s="17" t="s">
        <v>91</v>
      </c>
      <c r="C2" s="16" t="s">
        <v>92</v>
      </c>
    </row>
    <row r="3" customFormat="false" ht="15" hidden="false" customHeight="false" outlineLevel="0" collapsed="false">
      <c r="A3" s="16" t="s">
        <v>93</v>
      </c>
      <c r="B3" s="17" t="s">
        <v>94</v>
      </c>
      <c r="C3" s="16" t="s">
        <v>95</v>
      </c>
    </row>
    <row r="4" customFormat="false" ht="15" hidden="false" customHeight="false" outlineLevel="0" collapsed="false">
      <c r="A4" s="16" t="s">
        <v>96</v>
      </c>
      <c r="B4" s="17" t="s">
        <v>97</v>
      </c>
      <c r="C4" s="16" t="s">
        <v>98</v>
      </c>
    </row>
    <row r="5" customFormat="false" ht="15" hidden="false" customHeight="false" outlineLevel="0" collapsed="false">
      <c r="A5" s="16" t="s">
        <v>99</v>
      </c>
      <c r="B5" s="17" t="s">
        <v>100</v>
      </c>
      <c r="C5" s="16" t="s">
        <v>101</v>
      </c>
    </row>
    <row r="6" customFormat="false" ht="15" hidden="false" customHeight="false" outlineLevel="0" collapsed="false">
      <c r="A6" s="16" t="s">
        <v>102</v>
      </c>
      <c r="B6" s="17" t="s">
        <v>103</v>
      </c>
      <c r="C6" s="16" t="s">
        <v>104</v>
      </c>
    </row>
    <row r="7" customFormat="false" ht="15" hidden="false" customHeight="false" outlineLevel="0" collapsed="false">
      <c r="A7" s="16" t="s">
        <v>105</v>
      </c>
      <c r="B7" s="17" t="s">
        <v>106</v>
      </c>
      <c r="C7" s="16" t="s">
        <v>107</v>
      </c>
    </row>
    <row r="8" customFormat="false" ht="15" hidden="false" customHeight="false" outlineLevel="0" collapsed="false">
      <c r="A8" s="16" t="s">
        <v>108</v>
      </c>
      <c r="B8" s="17" t="s">
        <v>109</v>
      </c>
      <c r="C8" s="16" t="s">
        <v>110</v>
      </c>
    </row>
    <row r="9" customFormat="false" ht="41.75" hidden="false" customHeight="false" outlineLevel="0" collapsed="false">
      <c r="A9" s="16" t="s">
        <v>111</v>
      </c>
      <c r="B9" s="16"/>
      <c r="C9" s="16" t="s">
        <v>112</v>
      </c>
    </row>
  </sheetData>
  <hyperlinks>
    <hyperlink ref="B2" r:id="rId1" display="https://www.lcdwiki.com/2.8inch_ESP32-S3_Display"/>
    <hyperlink ref="B3" r:id="rId2" display="https://github.com/ngttai/esp32_s3_es3c28p"/>
    <hyperlink ref="B4" r:id="rId3" display="https://github.com/bmorcelli/Launcher/issues/373"/>
    <hyperlink ref="B5" r:id="rId4" display="https://github.com/BruceDevices/firmware/pull/2178"/>
    <hyperlink ref="B6" r:id="rId5" display="https://www.alibaba.com/product-detail/ES3C28P-ES3N28P-2-8-inch-ESP32_1601603512242.html"/>
    <hyperlink ref="B7" r:id="rId6" display="https://lista.mercadolivre.com.br/bateria-3.7v-1000mah"/>
    <hyperlink ref="B8" r:id="rId7" display="https://lista.mercadolivre.com.br/alto-falante-8-ohms-2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2026-10-15T05:16:35Z</dcterms:created>
  <dc:creator>openpyxl</dc:creator>
  <dc:description/>
  <dc:language>en-US</dc:language>
  <cp:lastModifiedBy/>
  <dcterms:modified xsi:type="dcterms:W3CDTF">2026-10-15T05:16:35Z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