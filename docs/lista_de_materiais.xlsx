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sta de compras" sheetId="1" state="visible" r:id="rId3"/>
    <sheet name="Como escolher o anúncio" sheetId="2" state="visible" r:id="rId4"/>
    <sheet name="Fontes e not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<sst xmlns="http://schemas.openxmlformats.org/spreadsheetml/2006/main" count="147" uniqueCount="121">
  <si>
    <t xml:space="preserve">TubaBot v2 — lista de materiais (Brasil)</t>
  </si>
  <si>
    <t xml:space="preserve">Preços em R$ são FAIXAS ESTIMADAS (out/2026) a partir de preços oficiais e de lojas pesquisadas. As páginas do Mercado Livre e da Shopee não puderam ser abertas deste ambiente, então os links levam a buscas já filtradas: 'menor preço' e 'mais vendidos/relevantes' (que puxam os anúncios com mais avaliações). Confira no anúncio: avaliação ≥ 4,5, mais de 50 vendas, e a especificação da coluna 'Conferir no anúncio'.</t>
  </si>
  <si>
    <t xml:space="preserve">#</t>
  </si>
  <si>
    <t xml:space="preserve">Item</t>
  </si>
  <si>
    <t xml:space="preserve">Qtd</t>
  </si>
  <si>
    <t xml:space="preserve">Obrigatório?</t>
  </si>
  <si>
    <t xml:space="preserve">Especificação exata</t>
  </si>
  <si>
    <t xml:space="preserve">Conferir no anúncio</t>
  </si>
  <si>
    <t xml:space="preserve">Mercado Livre — menor preço</t>
  </si>
  <si>
    <t xml:space="preserve">Mercado Livre — mais relevantes</t>
  </si>
  <si>
    <t xml:space="preserve">Shopee — mais vendidos</t>
  </si>
  <si>
    <t xml:space="preserve">Outra fonte (referência)</t>
  </si>
  <si>
    <t xml:space="preserve">Preço mín. estimado (R$)</t>
  </si>
  <si>
    <t xml:space="preserve">Preço máx. estimado (R$)</t>
  </si>
  <si>
    <t xml:space="preserve">Observações</t>
  </si>
  <si>
    <t xml:space="preserve">Placa Waveshare ESP32-S3-Touch-AMOLED-1.75 (SKU 31261)</t>
  </si>
  <si>
    <t xml:space="preserve">Sim</t>
  </si>
  <si>
    <t xml:space="preserve">ESP32-S3R8, 8 MB PSRAM, 16 MB flash, AMOLED 1,75" 466×466 CO5300, toque CST9217, IMU QMI8658, AXP2101, RTC PCF85063, ES8311 + ES7210 (2 microfones), USB-C</t>
  </si>
  <si>
    <t xml:space="preserve">Nome exato 'ESP32-S3-Touch-AMOLED-1.75' (NÃO 1.43, NÃO 1.75C). Versão padrão 31261, sem case. GPS (31264) também serve, mas é mais cara.</t>
  </si>
  <si>
    <t xml:space="preserve">ML · menor preço</t>
  </si>
  <si>
    <t xml:space="preserve">ML · relevantes</t>
  </si>
  <si>
    <t xml:space="preserve">Shopee · mais vendidos</t>
  </si>
  <si>
    <t xml:space="preserve">Waveshare oficial (US$ 29,99 + frete)</t>
  </si>
  <si>
    <t xml:space="preserve">Item principal. Se não houver no ML/Shopee com bom vendedor, a loja oficial da Waveshare ou AliExpress (loja oficial Waveshare) costuma sair mais barato com o Remessa Conforme.</t>
  </si>
  <si>
    <t xml:space="preserve">Bateria LiPo 3,7 V 803040 1000 mAh com plugue MX1.25</t>
  </si>
  <si>
    <t xml:space="preserve">Sim (para usar sem cabo)</t>
  </si>
  <si>
    <t xml:space="preserve">LiPo 3,7 V, 1000 mAh, tamanho 8 × 30 × 40 mm (803040), circuito de proteção (PCM), 2 fios</t>
  </si>
  <si>
    <t xml:space="preserve">Tamanho máx. ~8×30×40 mm para caber no corpo Neo; COM proteção; plugue MX1.25 (1,25 mm). Ao receber, confira a polaridade com o multímetro antes de plugar.</t>
  </si>
  <si>
    <t xml:space="preserve">Busca geral ML (bateria 3,7 V 1000 mAh)</t>
  </si>
  <si>
    <t xml:space="preserve">Se vier com plugue PH2.0/JST, use o kit de rabichos MX1.25 (item 4). Nunca inverta + e −.</t>
  </si>
  <si>
    <t xml:space="preserve">Alto-falante 8 Ω 2 W (28 mm redondo ou cápsula 2030)</t>
  </si>
  <si>
    <t xml:space="preserve">Sim (para ter som)</t>
  </si>
  <si>
    <t xml:space="preserve">8 Ω, 1 a 2 W, diâmetro 28 mm (ou retangular 20×30 mm), fino</t>
  </si>
  <si>
    <t xml:space="preserve">Impedância 8 Ω; potência 1–2 W; tamanho pequeno. Melhor se já vier com fios/plugue MX1.25.</t>
  </si>
  <si>
    <t xml:space="preserve">Busca geral ML (alto-falante 8 Ω 2 W)</t>
  </si>
  <si>
    <t xml:space="preserve">Kits com 2–5 unidades costumam custar o mesmo que uma.</t>
  </si>
  <si>
    <t xml:space="preserve">Kit de rabichos (pigtails) MX1.25 2 pinos</t>
  </si>
  <si>
    <t xml:space="preserve">Recomendado</t>
  </si>
  <si>
    <t xml:space="preserve">Conector Molex PicoBlade / MX1.25 mm, 2 vias, fêmea com fio 10–15 cm</t>
  </si>
  <si>
    <t xml:space="preserve">Passo 1,25 mm (não confundir com PH2.0 nem JST-SH 1,0 mm). Kit com 10 pares.</t>
  </si>
  <si>
    <t xml:space="preserve">Para adaptar bateria e alto-falante se vierem com outro plugue. Exige solda simples (ferro da v1).</t>
  </si>
  <si>
    <t xml:space="preserve">Arquivos 3D do corpo Neo Deskimon (STL)</t>
  </si>
  <si>
    <t xml:space="preserve">Sim (corpo)</t>
  </si>
  <si>
    <t xml:space="preserve">Modelo Neo da Creative Chance (capuz com fones), feito para a placa Waveshare 1.75</t>
  </si>
  <si>
    <t xml:space="preserve">Comprar direto da Creative Chance (Thangs).</t>
  </si>
  <si>
    <t xml:space="preserve">—</t>
  </si>
  <si>
    <t xml:space="preserve">Creative Chance — Neo Deskimon</t>
  </si>
  <si>
    <t xml:space="preserve">Preço de referência ~US$ 7,99 (Thangs). Uso pessoal; não revender o STL.</t>
  </si>
  <si>
    <t xml:space="preserve">Impressão 3D do corpo (serviço) — OU filamento PLA 1 kg</t>
  </si>
  <si>
    <t xml:space="preserve">Sim (uma das duas)</t>
  </si>
  <si>
    <t xml:space="preserve">PLA, 0,2 mm, 15–20 % preenchimento; cor à escolha</t>
  </si>
  <si>
    <t xml:space="preserve">Serviço: envie o STL, peça PLA e prazo. Filamento: PLA 1,75 mm de marca com boas avaliações.</t>
  </si>
  <si>
    <t xml:space="preserve">Filamento PLA 1,75 mm — busca ML</t>
  </si>
  <si>
    <t xml:space="preserve">Só compre filamento se tiver impressora (ou amigo com impressora). Bambu PLA Lite 1 kg foi visto por ~R$ 110.</t>
  </si>
  <si>
    <t xml:space="preserve">Fita dupla-face fina (espuma 0,8–1 mm)</t>
  </si>
  <si>
    <t xml:space="preserve">Fita dupla-face de espuma fina, 12 mm</t>
  </si>
  <si>
    <t xml:space="preserve">Espessura ≤ 1 mm para não empurrar a placa.</t>
  </si>
  <si>
    <t xml:space="preserve">Prende a bateria no corpo, longe de cantos vivos.</t>
  </si>
  <si>
    <t xml:space="preserve">TOTAL estimado (itens novos)</t>
  </si>
  <si>
    <t xml:space="preserve">Peças da v1 que você já tem (não comprar)</t>
  </si>
  <si>
    <t xml:space="preserve">Situação</t>
  </si>
  <si>
    <t xml:space="preserve">Uso na v2</t>
  </si>
  <si>
    <t xml:space="preserve">Motor de vibração MV50</t>
  </si>
  <si>
    <t xml:space="preserve">JÁ TENHO (v1)</t>
  </si>
  <si>
    <t xml:space="preserve">Opcional — firmware 'tubabot_vibra', ligar IN→GPIO16, VCC→3V3, GND→GND.</t>
  </si>
  <si>
    <t xml:space="preserve">Jumpers fêmea-fêmea 10 cm</t>
  </si>
  <si>
    <t xml:space="preserve">Para o MV50.</t>
  </si>
  <si>
    <t xml:space="preserve">Cabo USB-C de dados (Ugreen US287)</t>
  </si>
  <si>
    <t xml:space="preserve">Gravação, alimentação, carga.</t>
  </si>
  <si>
    <t xml:space="preserve">Multímetro Kapbom DT-9205A</t>
  </si>
  <si>
    <t xml:space="preserve">Conferir polaridade da bateria.</t>
  </si>
  <si>
    <t xml:space="preserve">Ferro de solda 60 W + estanho</t>
  </si>
  <si>
    <t xml:space="preserve">Só para adaptar plugues.</t>
  </si>
  <si>
    <t xml:space="preserve">Ímãs de neodímio 8×2 mm</t>
  </si>
  <si>
    <t xml:space="preserve">Opcional: fecho da tampa traseira.</t>
  </si>
  <si>
    <t xml:space="preserve">Critério</t>
  </si>
  <si>
    <t xml:space="preserve">Por quê</t>
  </si>
  <si>
    <t xml:space="preserve">Reputação do vendedor verde (ML) / 'Indicado' ou 'Loja oficial' (Shopee)</t>
  </si>
  <si>
    <t xml:space="preserve">Menor chance de produto errado e devolução fácil</t>
  </si>
  <si>
    <t xml:space="preserve">Nota ≥ 4,5 com 50+ avaliações; leia as avaliações com foto</t>
  </si>
  <si>
    <t xml:space="preserve">Confirma que chega o item da foto</t>
  </si>
  <si>
    <t xml:space="preserve">Foto mostra o nome 'ESP32-S3-Touch-AMOLED-1.75' na placa/caixa</t>
  </si>
  <si>
    <t xml:space="preserve">Existem as versões 1.43 e 1.75C, que não servem no corpo</t>
  </si>
  <si>
    <t xml:space="preserve">Bateria: tamanho 803040 e 'com proteção'</t>
  </si>
  <si>
    <t xml:space="preserve">Cabe no corpo e é segura</t>
  </si>
  <si>
    <t xml:space="preserve">Conector MX1.25 (1,25 mm) — se não informar, pergunte</t>
  </si>
  <si>
    <t xml:space="preserve">PH2.0 e JST-SH não encaixam na placa</t>
  </si>
  <si>
    <t xml:space="preserve">Prefira 'Full' (ML) ou envio nacional</t>
  </si>
  <si>
    <t xml:space="preserve">Chega mais rápido, sem taxa de importação surpresa</t>
  </si>
  <si>
    <t xml:space="preserve">Para importados: Remessa Conforme ativo</t>
  </si>
  <si>
    <t xml:space="preserve">Imposto já incluso no preço exibido</t>
  </si>
  <si>
    <t xml:space="preserve">Compare preço + frete; kits de 2–5 alto-falantes/rabichos costumam compensar</t>
  </si>
  <si>
    <t xml:space="preserve">Sobra peça de reposição</t>
  </si>
  <si>
    <t xml:space="preserve">Fonte</t>
  </si>
  <si>
    <t xml:space="preserve">Link</t>
  </si>
  <si>
    <t xml:space="preserve">O que foi usado</t>
  </si>
  <si>
    <t xml:space="preserve">Waveshare — página do produto</t>
  </si>
  <si>
    <t xml:space="preserve">https://www.waveshare.com/esp32-s3-touch-amoled-1.75.htm</t>
  </si>
  <si>
    <t xml:space="preserve">preço oficial (US$ 29,99 a 39,99), SKUs 31261/31262/31264</t>
  </si>
  <si>
    <t xml:space="preserve">Waveshare — documentação</t>
  </si>
  <si>
    <t xml:space="preserve">https://docs.waveshare.com/ESP32-S3-Touch-AMOLED-1.75</t>
  </si>
  <si>
    <t xml:space="preserve">especificações, conectores</t>
  </si>
  <si>
    <t xml:space="preserve">Waveshare — repositório oficial</t>
  </si>
  <si>
    <t xml:space="preserve">https://github.com/waveshareteam/ESP32-S3-Touch-AMOLED-1.75</t>
  </si>
  <si>
    <t xml:space="preserve">pinos e bibliotecas usados no firmware</t>
  </si>
  <si>
    <t xml:space="preserve">https://creative-chance.com/en-brl/products/neo-deskimon</t>
  </si>
  <si>
    <t xml:space="preserve">corpo de referência</t>
  </si>
  <si>
    <t xml:space="preserve">eBay (referência de preço internacional)</t>
  </si>
  <si>
    <t xml:space="preserve">https://www.ebay.com/itm/267546467085</t>
  </si>
  <si>
    <t xml:space="preserve">US$ 47,84 + frete (versão 1.75C)</t>
  </si>
  <si>
    <t xml:space="preserve">Amazon US (referência)</t>
  </si>
  <si>
    <t xml:space="preserve">https://www.amazon.com/AmpOhm360-Waveshare-Development-Microphones-Interface/dp/B0H97CDMKS</t>
  </si>
  <si>
    <t xml:space="preserve">versão com case (31262), indisponível na consulta</t>
  </si>
  <si>
    <t xml:space="preserve">Mercado Livre — bateria 3,7 V 1000 mAh</t>
  </si>
  <si>
    <t xml:space="preserve">https://lista.mercadolivre.com.br/bateria-3.7v-1000mah</t>
  </si>
  <si>
    <t xml:space="preserve">faixa de preço de baterias</t>
  </si>
  <si>
    <t xml:space="preserve">Mercado Livre — alto-falante 8 Ω 2 W</t>
  </si>
  <si>
    <t xml:space="preserve">https://lista.mercadolivre.com.br/alto-falante-8-ohms-2w</t>
  </si>
  <si>
    <t xml:space="preserve">faixa de preço de alto-falantes</t>
  </si>
  <si>
    <t xml:space="preserve">Nota</t>
  </si>
  <si>
    <t xml:space="preserve">Preços em R$ estimados em 15/10/2026 (câmbio ~R$ 5,4–5,6/US$ + frete/imposto para importados). Confirme no anúncio antes de comprar.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</si>
</sst>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R$ &quot;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A68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u val="single"/>
      <sz val="11"/>
      <color rgb="FF1155CC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1F3A68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68"/>
        <bgColor rgb="FF333399"/>
      </patternFill>
    </fill>
    <fill>
      <patternFill patternType="solid">
        <fgColor rgb="FFFFF6E0"/>
        <bgColor rgb="FFFFFFFF"/>
      </patternFill>
    </fill>
    <fill>
      <patternFill patternType="solid">
        <fgColor rgb="FFE8EEF8"/>
        <bgColor rgb="FFFFF6E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0DC"/>
      </left>
      <right style="thin">
        <color rgb="FFC8D0DC"/>
      </right>
      <top style="thin">
        <color rgb="FFC8D0DC"/>
      </top>
      <bottom style="thin">
        <color rgb="FFC8D0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8EEF8"/>
      <rgbColor rgb="FF660066"/>
      <rgbColor rgb="FFFF8080"/>
      <rgbColor rgb="FF1155CC"/>
      <rgbColor rgb="FFC8D0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68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ista.mercadolivre.com.br/esp32-s3-touch-amoled-1.75_OrderId_PRICE_NoIndex_True" TargetMode="External"/><Relationship Id="rId2" Type="http://schemas.openxmlformats.org/officeDocument/2006/relationships/hyperlink" Target="https://lista.mercadolivre.com.br/esp32-s3-amoled-1.75-waveshare" TargetMode="External"/><Relationship Id="rId3" Type="http://schemas.openxmlformats.org/officeDocument/2006/relationships/hyperlink" Target="https://shopee.com.br/search?keyword=esp32%20s3%20amoled%201.75%20waveshare&amp;sortBy=sales" TargetMode="External"/><Relationship Id="rId4" Type="http://schemas.openxmlformats.org/officeDocument/2006/relationships/hyperlink" Target="https://www.waveshare.com/esp32-s3-touch-amoled-1.75.htm?sku=31261" TargetMode="External"/><Relationship Id="rId5" Type="http://schemas.openxmlformats.org/officeDocument/2006/relationships/hyperlink" Target="https://lista.mercadolivre.com.br/bateria-lipo-3.7v-1000mah-803040_OrderId_PRICE_NoIndex_True" TargetMode="External"/><Relationship Id="rId6" Type="http://schemas.openxmlformats.org/officeDocument/2006/relationships/hyperlink" Target="https://lista.mercadolivre.com.br/bateria-803040-1000mah" TargetMode="External"/><Relationship Id="rId7" Type="http://schemas.openxmlformats.org/officeDocument/2006/relationships/hyperlink" Target="https://shopee.com.br/search?keyword=bateria%20lipo%20803040%201000mah&amp;sortBy=sales" TargetMode="External"/><Relationship Id="rId8" Type="http://schemas.openxmlformats.org/officeDocument/2006/relationships/hyperlink" Target="https://lista.mercadolivre.com.br/bateria-3.7v-1000mah" TargetMode="External"/><Relationship Id="rId9" Type="http://schemas.openxmlformats.org/officeDocument/2006/relationships/hyperlink" Target="https://lista.mercadolivre.com.br/alto-falante-8-ohms-2w-28mm_OrderId_PRICE_NoIndex_True" TargetMode="External"/><Relationship Id="rId10" Type="http://schemas.openxmlformats.org/officeDocument/2006/relationships/hyperlink" Target="https://lista.mercadolivre.com.br/mini-alto-falante-8-ohms-2w" TargetMode="External"/><Relationship Id="rId11" Type="http://schemas.openxmlformats.org/officeDocument/2006/relationships/hyperlink" Target="https://shopee.com.br/search?keyword=alto%20falante%208ohm%202w%2028mm&amp;sortBy=sales" TargetMode="External"/><Relationship Id="rId12" Type="http://schemas.openxmlformats.org/officeDocument/2006/relationships/hyperlink" Target="https://lista.mercadolivre.com.br/alto-falante-8-ohms-2w" TargetMode="External"/><Relationship Id="rId13" Type="http://schemas.openxmlformats.org/officeDocument/2006/relationships/hyperlink" Target="https://lista.mercadolivre.com.br/conector-mx1.25-2-pinos-com-fio_OrderId_PRICE_NoIndex_True" TargetMode="External"/><Relationship Id="rId14" Type="http://schemas.openxmlformats.org/officeDocument/2006/relationships/hyperlink" Target="https://lista.mercadolivre.com.br/cabo-molex-1.25mm-2-vias" TargetMode="External"/><Relationship Id="rId15" Type="http://schemas.openxmlformats.org/officeDocument/2006/relationships/hyperlink" Target="https://shopee.com.br/search?keyword=mx1.25%202pin%20cabo&amp;sortBy=sales" TargetMode="External"/><Relationship Id="rId16" Type="http://schemas.openxmlformats.org/officeDocument/2006/relationships/hyperlink" Target="https://creative-chance.com/en-brl/products/neo-deskimon" TargetMode="External"/><Relationship Id="rId17" Type="http://schemas.openxmlformats.org/officeDocument/2006/relationships/hyperlink" Target="https://lista.mercadolivre.com.br/impressao-3d-sob-encomenda-pla_OrderId_PRICE_NoIndex_True" TargetMode="External"/><Relationship Id="rId18" Type="http://schemas.openxmlformats.org/officeDocument/2006/relationships/hyperlink" Target="https://lista.mercadolivre.com.br/servico-impressao-3d" TargetMode="External"/><Relationship Id="rId19" Type="http://schemas.openxmlformats.org/officeDocument/2006/relationships/hyperlink" Target="https://shopee.com.br/search?keyword=impress&#227;o%203d%20personalizada&amp;sortBy=sales" TargetMode="External"/><Relationship Id="rId20" Type="http://schemas.openxmlformats.org/officeDocument/2006/relationships/hyperlink" Target="https://lista.mercadolivre.com.br/filamento-pla-1.75mm-1kg_OrderId_PRICE_NoIndex_True" TargetMode="External"/><Relationship Id="rId21" Type="http://schemas.openxmlformats.org/officeDocument/2006/relationships/hyperlink" Target="https://lista.mercadolivre.com.br/fita-dupla-face-espuma-fina-12mm_OrderId_PRICE_NoIndex_True" TargetMode="External"/><Relationship Id="rId22" Type="http://schemas.openxmlformats.org/officeDocument/2006/relationships/hyperlink" Target="https://lista.mercadolivre.com.br/fita-dupla-face-3m-fina" TargetMode="External"/><Relationship Id="rId23" Type="http://schemas.openxmlformats.org/officeDocument/2006/relationships/hyperlink" Target="https://shopee.com.br/search?keyword=fita%20dupla%20face%20fina%20espuma&amp;sortBy=sales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waveshare.com/esp32-s3-touch-amoled-1.75.htm" TargetMode="External"/><Relationship Id="rId2" Type="http://schemas.openxmlformats.org/officeDocument/2006/relationships/hyperlink" Target="https://docs.waveshare.com/ESP32-S3-Touch-AMOLED-1.75" TargetMode="External"/><Relationship Id="rId3" Type="http://schemas.openxmlformats.org/officeDocument/2006/relationships/hyperlink" Target="https://github.com/waveshareteam/ESP32-S3-Touch-AMOLED-1.75" TargetMode="External"/><Relationship Id="rId4" Type="http://schemas.openxmlformats.org/officeDocument/2006/relationships/hyperlink" Target="https://creative-chance.com/en-brl/products/neo-deskimon" TargetMode="External"/><Relationship Id="rId5" Type="http://schemas.openxmlformats.org/officeDocument/2006/relationships/hyperlink" Target="https://www.ebay.com/itm/267546467085" TargetMode="External"/><Relationship Id="rId6" Type="http://schemas.openxmlformats.org/officeDocument/2006/relationships/hyperlink" Target="https://www.amazon.com/AmpOhm360-Waveshare-Development-Microphones-Interface/dp/B0H97CDMKS" TargetMode="External"/><Relationship Id="rId7" Type="http://schemas.openxmlformats.org/officeDocument/2006/relationships/hyperlink" Target="https://lista.mercadolivre.com.br/bateria-3.7v-1000mah" TargetMode="External"/><Relationship Id="rId8" Type="http://schemas.openxmlformats.org/officeDocument/2006/relationships/hyperlink" Target="https://lista.mercadolivre.com.br/alto-falante-8-ohms-2w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6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44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0" min="10" style="0" width="30"/>
    <col collapsed="false" customWidth="true" hidden="false" outlineLevel="0" max="12" min="11" style="0" width="13"/>
    <col collapsed="false" customWidth="true" hidden="false" outlineLevel="0" max="13" min="13" style="0" width="40"/>
  </cols>
  <sheetData>
    <row r="1" customFormat="false" ht="18.55" hidden="false" customHeight="false" outlineLevel="0" collapsed="false">
      <c r="A1" s="1" t="s">
        <v>0</v>
      </c>
    </row>
    <row r="2" customFormat="false" ht="61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91.5" hidden="false" customHeight="true" outlineLevel="0" collapsed="false">
      <c r="A5" s="4" t="n">
        <v>1</v>
      </c>
      <c r="B5" s="4" t="s">
        <v>15</v>
      </c>
      <c r="C5" s="4" t="n">
        <v>1</v>
      </c>
      <c r="D5" s="4" t="s">
        <v>16</v>
      </c>
      <c r="E5" s="4" t="s">
        <v>17</v>
      </c>
      <c r="F5" s="4" t="s">
        <v>18</v>
      </c>
      <c r="G5" s="5" t="s">
        <v>19</v>
      </c>
      <c r="H5" s="5" t="s">
        <v>20</v>
      </c>
      <c r="I5" s="5" t="s">
        <v>21</v>
      </c>
      <c r="J5" s="5" t="s">
        <v>22</v>
      </c>
      <c r="K5" s="6" t="n">
        <v>220</v>
      </c>
      <c r="L5" s="6" t="n">
        <v>380</v>
      </c>
      <c r="M5" s="4" t="s">
        <v>23</v>
      </c>
    </row>
    <row r="6" customFormat="false" ht="91.5" hidden="false" customHeight="true" outlineLevel="0" collapsed="false">
      <c r="A6" s="4" t="n">
        <v>2</v>
      </c>
      <c r="B6" s="4" t="s">
        <v>24</v>
      </c>
      <c r="C6" s="4" t="n">
        <v>1</v>
      </c>
      <c r="D6" s="4" t="s">
        <v>25</v>
      </c>
      <c r="E6" s="4" t="s">
        <v>26</v>
      </c>
      <c r="F6" s="4" t="s">
        <v>27</v>
      </c>
      <c r="G6" s="5" t="s">
        <v>19</v>
      </c>
      <c r="H6" s="5" t="s">
        <v>20</v>
      </c>
      <c r="I6" s="5" t="s">
        <v>21</v>
      </c>
      <c r="J6" s="5" t="s">
        <v>28</v>
      </c>
      <c r="K6" s="6" t="n">
        <v>25</v>
      </c>
      <c r="L6" s="6" t="n">
        <v>50</v>
      </c>
      <c r="M6" s="4" t="s">
        <v>29</v>
      </c>
    </row>
    <row r="7" customFormat="false" ht="91.5" hidden="false" customHeight="true" outlineLevel="0" collapsed="false">
      <c r="A7" s="4" t="n">
        <v>3</v>
      </c>
      <c r="B7" s="4" t="s">
        <v>30</v>
      </c>
      <c r="C7" s="4" t="n">
        <v>1</v>
      </c>
      <c r="D7" s="4" t="s">
        <v>31</v>
      </c>
      <c r="E7" s="4" t="s">
        <v>32</v>
      </c>
      <c r="F7" s="4" t="s">
        <v>33</v>
      </c>
      <c r="G7" s="5" t="s">
        <v>19</v>
      </c>
      <c r="H7" s="5" t="s">
        <v>20</v>
      </c>
      <c r="I7" s="5" t="s">
        <v>21</v>
      </c>
      <c r="J7" s="5" t="s">
        <v>34</v>
      </c>
      <c r="K7" s="6" t="n">
        <v>8</v>
      </c>
      <c r="L7" s="6" t="n">
        <v>25</v>
      </c>
      <c r="M7" s="4" t="s">
        <v>35</v>
      </c>
    </row>
    <row r="8" customFormat="false" ht="91.5" hidden="false" customHeight="true" outlineLevel="0" collapsed="false">
      <c r="A8" s="7" t="n">
        <v>4</v>
      </c>
      <c r="B8" s="7" t="s">
        <v>36</v>
      </c>
      <c r="C8" s="7" t="n">
        <v>1</v>
      </c>
      <c r="D8" s="7" t="s">
        <v>37</v>
      </c>
      <c r="E8" s="7" t="s">
        <v>38</v>
      </c>
      <c r="F8" s="7" t="s">
        <v>39</v>
      </c>
      <c r="G8" s="8" t="s">
        <v>19</v>
      </c>
      <c r="H8" s="8" t="s">
        <v>20</v>
      </c>
      <c r="I8" s="8" t="s">
        <v>21</v>
      </c>
      <c r="J8" s="7"/>
      <c r="K8" s="9" t="n">
        <v>12</v>
      </c>
      <c r="L8" s="9" t="n">
        <v>30</v>
      </c>
      <c r="M8" s="7" t="s">
        <v>40</v>
      </c>
    </row>
    <row r="9" customFormat="false" ht="91.5" hidden="false" customHeight="true" outlineLevel="0" collapsed="false">
      <c r="A9" s="4" t="n">
        <v>5</v>
      </c>
      <c r="B9" s="4" t="s">
        <v>41</v>
      </c>
      <c r="C9" s="4" t="n">
        <v>1</v>
      </c>
      <c r="D9" s="4" t="s">
        <v>42</v>
      </c>
      <c r="E9" s="4" t="s">
        <v>43</v>
      </c>
      <c r="F9" s="4" t="s">
        <v>44</v>
      </c>
      <c r="G9" s="4" t="s">
        <v>45</v>
      </c>
      <c r="H9" s="4" t="s">
        <v>45</v>
      </c>
      <c r="I9" s="4" t="s">
        <v>45</v>
      </c>
      <c r="J9" s="5" t="s">
        <v>46</v>
      </c>
      <c r="K9" s="6" t="n">
        <v>40</v>
      </c>
      <c r="L9" s="6" t="n">
        <v>50</v>
      </c>
      <c r="M9" s="4" t="s">
        <v>47</v>
      </c>
    </row>
    <row r="10" customFormat="false" ht="91.5" hidden="false" customHeight="true" outlineLevel="0" collapsed="false">
      <c r="A10" s="4" t="n">
        <v>6</v>
      </c>
      <c r="B10" s="4" t="s">
        <v>48</v>
      </c>
      <c r="C10" s="4" t="n">
        <v>1</v>
      </c>
      <c r="D10" s="4" t="s">
        <v>49</v>
      </c>
      <c r="E10" s="4" t="s">
        <v>50</v>
      </c>
      <c r="F10" s="4" t="s">
        <v>51</v>
      </c>
      <c r="G10" s="5" t="s">
        <v>19</v>
      </c>
      <c r="H10" s="5" t="s">
        <v>20</v>
      </c>
      <c r="I10" s="5" t="s">
        <v>21</v>
      </c>
      <c r="J10" s="5" t="s">
        <v>52</v>
      </c>
      <c r="K10" s="6" t="n">
        <v>40</v>
      </c>
      <c r="L10" s="6" t="n">
        <v>120</v>
      </c>
      <c r="M10" s="4" t="s">
        <v>53</v>
      </c>
    </row>
    <row r="11" customFormat="false" ht="91.5" hidden="false" customHeight="true" outlineLevel="0" collapsed="false">
      <c r="A11" s="7" t="n">
        <v>7</v>
      </c>
      <c r="B11" s="7" t="s">
        <v>54</v>
      </c>
      <c r="C11" s="7" t="n">
        <v>1</v>
      </c>
      <c r="D11" s="7" t="s">
        <v>37</v>
      </c>
      <c r="E11" s="7" t="s">
        <v>55</v>
      </c>
      <c r="F11" s="7" t="s">
        <v>56</v>
      </c>
      <c r="G11" s="8" t="s">
        <v>19</v>
      </c>
      <c r="H11" s="8" t="s">
        <v>20</v>
      </c>
      <c r="I11" s="8" t="s">
        <v>21</v>
      </c>
      <c r="J11" s="7"/>
      <c r="K11" s="9" t="n">
        <v>8</v>
      </c>
      <c r="L11" s="9" t="n">
        <v>20</v>
      </c>
      <c r="M11" s="7" t="s">
        <v>57</v>
      </c>
    </row>
    <row r="12" customFormat="false" ht="15" hidden="false" customHeight="false" outlineLevel="0" collapsed="false">
      <c r="J12" s="10" t="s">
        <v>58</v>
      </c>
      <c r="K12" s="11" t="n">
        <f aca="false">SUMPRODUCT(C5:C11,K5:K11)</f>
        <v>353</v>
      </c>
      <c r="L12" s="11" t="n">
        <f aca="false">SUMPRODUCT(C5:C11,L5:L11)</f>
        <v>675</v>
      </c>
    </row>
    <row r="14" customFormat="false" ht="15" hidden="false" customHeight="false" outlineLevel="0" collapsed="false">
      <c r="A14" s="12" t="s">
        <v>59</v>
      </c>
    </row>
    <row r="15" customFormat="false" ht="15" hidden="false" customHeight="false" outlineLevel="0" collapsed="false">
      <c r="A15" s="13" t="s">
        <v>2</v>
      </c>
      <c r="B15" s="13" t="s">
        <v>3</v>
      </c>
      <c r="C15" s="13" t="s">
        <v>60</v>
      </c>
      <c r="D15" s="13" t="s">
        <v>61</v>
      </c>
    </row>
    <row r="16" customFormat="false" ht="95.5" hidden="false" customHeight="false" outlineLevel="0" collapsed="false">
      <c r="A16" s="14" t="n">
        <v>1</v>
      </c>
      <c r="B16" s="14" t="s">
        <v>62</v>
      </c>
      <c r="C16" s="14" t="s">
        <v>63</v>
      </c>
      <c r="D16" s="14" t="s">
        <v>64</v>
      </c>
    </row>
    <row r="17" customFormat="false" ht="41.75" hidden="false" customHeight="false" outlineLevel="0" collapsed="false">
      <c r="A17" s="14" t="n">
        <v>2</v>
      </c>
      <c r="B17" s="14" t="s">
        <v>65</v>
      </c>
      <c r="C17" s="14" t="s">
        <v>63</v>
      </c>
      <c r="D17" s="14" t="s">
        <v>66</v>
      </c>
    </row>
    <row r="18" customFormat="false" ht="41.75" hidden="false" customHeight="false" outlineLevel="0" collapsed="false">
      <c r="A18" s="14" t="n">
        <v>3</v>
      </c>
      <c r="B18" s="14" t="s">
        <v>67</v>
      </c>
      <c r="C18" s="14" t="s">
        <v>63</v>
      </c>
      <c r="D18" s="14" t="s">
        <v>68</v>
      </c>
    </row>
    <row r="19" customFormat="false" ht="41.75" hidden="false" customHeight="false" outlineLevel="0" collapsed="false">
      <c r="A19" s="14" t="n">
        <v>4</v>
      </c>
      <c r="B19" s="14" t="s">
        <v>69</v>
      </c>
      <c r="C19" s="14" t="s">
        <v>63</v>
      </c>
      <c r="D19" s="14" t="s">
        <v>70</v>
      </c>
    </row>
    <row r="20" customFormat="false" ht="41.75" hidden="false" customHeight="false" outlineLevel="0" collapsed="false">
      <c r="A20" s="14" t="n">
        <v>5</v>
      </c>
      <c r="B20" s="14" t="s">
        <v>71</v>
      </c>
      <c r="C20" s="14" t="s">
        <v>63</v>
      </c>
      <c r="D20" s="14" t="s">
        <v>72</v>
      </c>
    </row>
    <row r="21" customFormat="false" ht="41.75" hidden="false" customHeight="false" outlineLevel="0" collapsed="false">
      <c r="A21" s="14" t="n">
        <v>6</v>
      </c>
      <c r="B21" s="14" t="s">
        <v>73</v>
      </c>
      <c r="C21" s="14" t="s">
        <v>63</v>
      </c>
      <c r="D21" s="14" t="s">
        <v>74</v>
      </c>
    </row>
  </sheetData>
  <mergeCells count="1">
    <mergeCell ref="A2:L2"/>
  </mergeCells>
  <hyperlinks>
    <hyperlink ref="G5" r:id="rId1" display="ML · menor preço"/>
    <hyperlink ref="H5" r:id="rId2" display="ML · relevantes"/>
    <hyperlink ref="I5" r:id="rId3" display="Shopee · mais vendidos"/>
    <hyperlink ref="J5" r:id="rId4" display="Waveshare oficial (US$ 29,99 + frete)"/>
    <hyperlink ref="G6" r:id="rId5" display="ML · menor preço"/>
    <hyperlink ref="H6" r:id="rId6" display="ML · relevantes"/>
    <hyperlink ref="I6" r:id="rId7" display="Shopee · mais vendidos"/>
    <hyperlink ref="J6" r:id="rId8" display="Busca geral ML (bateria 3,7 V 1000 mAh)"/>
    <hyperlink ref="G7" r:id="rId9" display="ML · menor preço"/>
    <hyperlink ref="H7" r:id="rId10" display="ML · relevantes"/>
    <hyperlink ref="I7" r:id="rId11" display="Shopee · mais vendidos"/>
    <hyperlink ref="J7" r:id="rId12" display="Busca geral ML (alto-falante 8 Ω 2 W)"/>
    <hyperlink ref="G8" r:id="rId13" display="ML · menor preço"/>
    <hyperlink ref="H8" r:id="rId14" display="ML · relevantes"/>
    <hyperlink ref="I8" r:id="rId15" display="Shopee · mais vendidos"/>
    <hyperlink ref="J9" r:id="rId16" display="Creative Chance — Neo Deskimon"/>
    <hyperlink ref="G10" r:id="rId17" display="ML · menor preço"/>
    <hyperlink ref="H10" r:id="rId18" display="ML · relevantes"/>
    <hyperlink ref="I10" r:id="rId19" display="Shopee · mais vendidos"/>
    <hyperlink ref="J10" r:id="rId20" display="Filamento PLA 1,75 mm — busca ML"/>
    <hyperlink ref="G11" r:id="rId21" display="ML · menor preço"/>
    <hyperlink ref="H11" r:id="rId22" display="ML · relevantes"/>
    <hyperlink ref="I11" r:id="rId23" display="Shopee · mais vendido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5" t="s">
        <v>75</v>
      </c>
      <c r="B1" s="15" t="s">
        <v>76</v>
      </c>
    </row>
    <row r="2" customFormat="false" ht="15" hidden="false" customHeight="false" outlineLevel="0" collapsed="false">
      <c r="A2" s="16" t="s">
        <v>77</v>
      </c>
      <c r="B2" s="16" t="s">
        <v>78</v>
      </c>
    </row>
    <row r="3" customFormat="false" ht="15" hidden="false" customHeight="false" outlineLevel="0" collapsed="false">
      <c r="A3" s="16" t="s">
        <v>79</v>
      </c>
      <c r="B3" s="16" t="s">
        <v>80</v>
      </c>
    </row>
    <row r="4" customFormat="false" ht="15" hidden="false" customHeight="false" outlineLevel="0" collapsed="false">
      <c r="A4" s="16" t="s">
        <v>81</v>
      </c>
      <c r="B4" s="16" t="s">
        <v>82</v>
      </c>
    </row>
    <row r="5" customFormat="false" ht="15" hidden="false" customHeight="false" outlineLevel="0" collapsed="false">
      <c r="A5" s="16" t="s">
        <v>83</v>
      </c>
      <c r="B5" s="16" t="s">
        <v>84</v>
      </c>
    </row>
    <row r="6" customFormat="false" ht="15" hidden="false" customHeight="false" outlineLevel="0" collapsed="false">
      <c r="A6" s="16" t="s">
        <v>85</v>
      </c>
      <c r="B6" s="16" t="s">
        <v>86</v>
      </c>
    </row>
    <row r="7" customFormat="false" ht="15" hidden="false" customHeight="false" outlineLevel="0" collapsed="false">
      <c r="A7" s="16" t="s">
        <v>87</v>
      </c>
      <c r="B7" s="16" t="s">
        <v>88</v>
      </c>
    </row>
    <row r="8" customFormat="false" ht="15" hidden="false" customHeight="false" outlineLevel="0" collapsed="false">
      <c r="A8" s="16" t="s">
        <v>89</v>
      </c>
      <c r="B8" s="16" t="s">
        <v>90</v>
      </c>
    </row>
    <row r="9" customFormat="false" ht="15" hidden="false" customHeight="false" outlineLevel="0" collapsed="false">
      <c r="A9" s="16" t="s">
        <v>91</v>
      </c>
      <c r="B9" s="16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5" t="s">
        <v>93</v>
      </c>
      <c r="B1" s="15" t="s">
        <v>94</v>
      </c>
      <c r="C1" s="15" t="s">
        <v>95</v>
      </c>
    </row>
    <row r="2" customFormat="false" ht="15" hidden="false" customHeight="false" outlineLevel="0" collapsed="false">
      <c r="A2" s="16" t="s">
        <v>96</v>
      </c>
      <c r="B2" s="17" t="s">
        <v>97</v>
      </c>
      <c r="C2" s="16" t="s">
        <v>98</v>
      </c>
    </row>
    <row r="3" customFormat="false" ht="15" hidden="false" customHeight="false" outlineLevel="0" collapsed="false">
      <c r="A3" s="16" t="s">
        <v>99</v>
      </c>
      <c r="B3" s="17" t="s">
        <v>100</v>
      </c>
      <c r="C3" s="16" t="s">
        <v>101</v>
      </c>
    </row>
    <row r="4" customFormat="false" ht="15" hidden="false" customHeight="false" outlineLevel="0" collapsed="false">
      <c r="A4" s="16" t="s">
        <v>102</v>
      </c>
      <c r="B4" s="17" t="s">
        <v>103</v>
      </c>
      <c r="C4" s="16" t="s">
        <v>104</v>
      </c>
    </row>
    <row r="5" customFormat="false" ht="15" hidden="false" customHeight="false" outlineLevel="0" collapsed="false">
      <c r="A5" s="16" t="s">
        <v>46</v>
      </c>
      <c r="B5" s="17" t="s">
        <v>105</v>
      </c>
      <c r="C5" s="16" t="s">
        <v>106</v>
      </c>
    </row>
    <row r="6" customFormat="false" ht="15" hidden="false" customHeight="false" outlineLevel="0" collapsed="false">
      <c r="A6" s="16" t="s">
        <v>107</v>
      </c>
      <c r="B6" s="17" t="s">
        <v>108</v>
      </c>
      <c r="C6" s="16" t="s">
        <v>109</v>
      </c>
    </row>
    <row r="7" customFormat="false" ht="15" hidden="false" customHeight="false" outlineLevel="0" collapsed="false">
      <c r="A7" s="16" t="s">
        <v>110</v>
      </c>
      <c r="B7" s="17" t="s">
        <v>111</v>
      </c>
      <c r="C7" s="16" t="s">
        <v>112</v>
      </c>
    </row>
    <row r="8" customFormat="false" ht="15" hidden="false" customHeight="false" outlineLevel="0" collapsed="false">
      <c r="A8" s="16" t="s">
        <v>113</v>
      </c>
      <c r="B8" s="17" t="s">
        <v>114</v>
      </c>
      <c r="C8" s="16" t="s">
        <v>115</v>
      </c>
    </row>
    <row r="9" customFormat="false" ht="15" hidden="false" customHeight="false" outlineLevel="0" collapsed="false">
      <c r="A9" s="16" t="s">
        <v>116</v>
      </c>
      <c r="B9" s="17" t="s">
        <v>117</v>
      </c>
      <c r="C9" s="16" t="s">
        <v>118</v>
      </c>
    </row>
    <row r="10" customFormat="false" ht="41.75" hidden="false" customHeight="false" outlineLevel="0" collapsed="false">
      <c r="A10" s="16" t="s">
        <v>119</v>
      </c>
      <c r="B10" s="16"/>
      <c r="C10" s="16" t="s">
        <v>120</v>
      </c>
    </row>
  </sheetData>
  <hyperlinks>
    <hyperlink ref="B2" r:id="rId1" display="https://www.waveshare.com/esp32-s3-touch-amoled-1.75.htm"/>
    <hyperlink ref="B3" r:id="rId2" display="https://docs.waveshare.com/ESP32-S3-Touch-AMOLED-1.75"/>
    <hyperlink ref="B4" r:id="rId3" display="https://github.com/waveshareteam/ESP32-S3-Touch-AMOLED-1.75"/>
    <hyperlink ref="B5" r:id="rId4" display="https://creative-chance.com/en-brl/products/neo-deskimon"/>
    <hyperlink ref="B6" r:id="rId5" display="https://www.ebay.com/itm/267546467085"/>
    <hyperlink ref="B7" r:id="rId6" display="https://www.amazon.com/AmpOhm360-Waveshare-Development-Microphones-Interface/dp/B0H97CDMKS"/>
    <hyperlink ref="B8" r:id="rId7" display="https://lista.mercadolivre.com.br/bateria-3.7v-1000mah"/>
    <hyperlink ref="B9" r:id="rId8" display="https://lista.mercadolivre.com.br/alto-falante-8-ohms-2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2026-10-15T04:23:21Z</dcterms:created>
  <dc:creator>openpyxl</dc:creator>
  <dc:description/>
  <dc:language>en-US</dc:language>
  <cp:lastModifiedBy/>
  <dcterms:modified xsi:type="dcterms:W3CDTF">2026-10-15T04:23:21Z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