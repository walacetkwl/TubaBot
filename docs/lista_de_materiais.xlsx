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 de compras" sheetId="1" state="visible" r:id="rId1"/>
    <sheet xmlns:r="http://schemas.openxmlformats.org/officeDocument/2006/relationships" name="Como escolher o anúncio" sheetId="2" state="visible" r:id="rId2"/>
    <sheet xmlns:r="http://schemas.openxmlformats.org/officeDocument/2006/relationships" name="Fontes e no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6">
    <font>
      <name val="Calibri"/>
      <family val="2"/>
      <color theme="1"/>
      <sz val="11"/>
      <scheme val="minor"/>
    </font>
    <font>
      <b val="1"/>
      <color rgb="001F3A68"/>
      <sz val="15"/>
    </font>
    <font>
      <b val="1"/>
      <color rgb="00FFFFFF"/>
    </font>
    <font>
      <color rgb="001155CC"/>
      <u val="single"/>
    </font>
    <font>
      <b val="1"/>
    </font>
    <font>
      <b val="1"/>
      <color rgb="001F3A68"/>
      <sz val="12"/>
    </font>
  </fonts>
  <fills count="5">
    <fill>
      <patternFill/>
    </fill>
    <fill>
      <patternFill patternType="gray125"/>
    </fill>
    <fill>
      <patternFill patternType="solid">
        <fgColor rgb="001F3A68"/>
      </patternFill>
    </fill>
    <fill>
      <patternFill patternType="solid">
        <fgColor rgb="00FFF6E0"/>
      </patternFill>
    </fill>
    <fill>
      <patternFill patternType="solid">
        <fgColor rgb="00E8EEF8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0" fontId="4" fillId="0" borderId="0" pivotButton="0" quotePrefix="0" xfId="0"/>
    <xf numFmtId="164" fontId="4" fillId="0" borderId="1" pivotButton="0" quotePrefix="0" xfId="0"/>
    <xf numFmtId="0" fontId="5" fillId="0" borderId="0" pivotButton="0" quotePrefix="0" xfId="0"/>
    <xf numFmtId="0" fontId="2" fillId="2" borderId="1" pivotButton="0" quotePrefix="0" xfId="0"/>
    <xf numFmtId="0" fontId="0" fillId="4" borderId="1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ista.mercadolivre.com.br/es3c28p-esp32-s3-2.8_OrderId_PRICE_NoIndex_True" TargetMode="External" Id="rId1"/><Relationship Type="http://schemas.openxmlformats.org/officeDocument/2006/relationships/hyperlink" Target="https://lista.mercadolivre.com.br/esp32-s3-2.8-tela-touch-capacitiva-es3c28p" TargetMode="External" Id="rId2"/><Relationship Type="http://schemas.openxmlformats.org/officeDocument/2006/relationships/hyperlink" Target="https://shopee.com.br/search?keyword=es3c28p%20esp32%20s3%202.8&amp;sortBy=sales" TargetMode="External" Id="rId3"/><Relationship Type="http://schemas.openxmlformats.org/officeDocument/2006/relationships/hyperlink" Target="https://pt.aliexpress.com/item/1005012105732485.html" TargetMode="External" Id="rId4"/><Relationship Type="http://schemas.openxmlformats.org/officeDocument/2006/relationships/hyperlink" Target="https://lista.mercadolivre.com.br/alto-falante-8-ohms-2w-28mm_OrderId_PRICE_NoIndex_True" TargetMode="External" Id="rId5"/><Relationship Type="http://schemas.openxmlformats.org/officeDocument/2006/relationships/hyperlink" Target="https://lista.mercadolivre.com.br/mini-alto-falante-8-ohms-1.5w" TargetMode="External" Id="rId6"/><Relationship Type="http://schemas.openxmlformats.org/officeDocument/2006/relationships/hyperlink" Target="https://shopee.com.br/search?keyword=alto%20falante%208ohm%202w%2028mm&amp;sortBy=sales" TargetMode="External" Id="rId7"/><Relationship Type="http://schemas.openxmlformats.org/officeDocument/2006/relationships/hyperlink" Target="https://lista.mercadolivre.com.br/alto-falante-8-ohms-2w" TargetMode="External" Id="rId8"/><Relationship Type="http://schemas.openxmlformats.org/officeDocument/2006/relationships/hyperlink" Target="https://lista.mercadolivre.com.br/bateria-lipo-3.7v-1000mah_OrderId_PRICE_NoIndex_True" TargetMode="External" Id="rId9"/><Relationship Type="http://schemas.openxmlformats.org/officeDocument/2006/relationships/hyperlink" Target="https://lista.mercadolivre.com.br/bateria-lipo-3.7v-1200mah-com-protecao" TargetMode="External" Id="rId10"/><Relationship Type="http://schemas.openxmlformats.org/officeDocument/2006/relationships/hyperlink" Target="https://shopee.com.br/search?keyword=bateria%20lipo%203.7v%201000mah&amp;sortBy=sales" TargetMode="External" Id="rId11"/><Relationship Type="http://schemas.openxmlformats.org/officeDocument/2006/relationships/hyperlink" Target="https://lista.mercadolivre.com.br/bateria-3.7v-1000mah" TargetMode="External" Id="rId12"/><Relationship Type="http://schemas.openxmlformats.org/officeDocument/2006/relationships/hyperlink" Target="https://lista.mercadolivre.com.br/kit-conector-mx1.25-ph2.0-2-pinos-com-fio_OrderId_PRICE_NoIndex_True" TargetMode="External" Id="rId13"/><Relationship Type="http://schemas.openxmlformats.org/officeDocument/2006/relationships/hyperlink" Target="https://lista.mercadolivre.com.br/cabo-jst-ph2.0-2-vias" TargetMode="External" Id="rId14"/><Relationship Type="http://schemas.openxmlformats.org/officeDocument/2006/relationships/hyperlink" Target="https://shopee.com.br/search?keyword=mx1.25%20ph2.0%202pin%20cabo%20kit&amp;sortBy=sales" TargetMode="External" Id="rId15"/><Relationship Type="http://schemas.openxmlformats.org/officeDocument/2006/relationships/hyperlink" Target="https://lista.mercadolivre.com.br/filamento-pla-1.75mm-1kg_OrderId_PRICE_NoIndex_True" TargetMode="External" Id="rId16"/><Relationship Type="http://schemas.openxmlformats.org/officeDocument/2006/relationships/hyperlink" Target="https://lista.mercadolivre.com.br/filamento-pla-1kg-vermelho" TargetMode="External" Id="rId17"/><Relationship Type="http://schemas.openxmlformats.org/officeDocument/2006/relationships/hyperlink" Target="https://shopee.com.br/search?keyword=filamento%20pla%201.75mm%201kg&amp;sortBy=sales" TargetMode="External" Id="rId18"/><Relationship Type="http://schemas.openxmlformats.org/officeDocument/2006/relationships/hyperlink" Target="https://lista.mercadolivre.com.br/filamento-pla-1.75mm-1kg_OrderId_PRICE_NoIndex_True" TargetMode="External" Id="rId19"/><Relationship Type="http://schemas.openxmlformats.org/officeDocument/2006/relationships/hyperlink" Target="https://lista.mercadolivre.com.br/parafuso-m2-6mm-kit_OrderId_PRICE_NoIndex_True" TargetMode="External" Id="rId20"/><Relationship Type="http://schemas.openxmlformats.org/officeDocument/2006/relationships/hyperlink" Target="https://lista.mercadolivre.com.br/kit-parafuso-m2-m2.5-eletronica" TargetMode="External" Id="rId21"/><Relationship Type="http://schemas.openxmlformats.org/officeDocument/2006/relationships/hyperlink" Target="https://shopee.com.br/search?keyword=parafuso%20m2%206mm&amp;sortBy=sales" TargetMode="External" Id="rId22"/><Relationship Type="http://schemas.openxmlformats.org/officeDocument/2006/relationships/hyperlink" Target="https://lista.mercadolivre.com.br/fita-dupla-face-espuma-fina-12mm_OrderId_PRICE_NoIndex_True" TargetMode="External" Id="rId23"/><Relationship Type="http://schemas.openxmlformats.org/officeDocument/2006/relationships/hyperlink" Target="https://lista.mercadolivre.com.br/fita-dupla-face-3m-fina" TargetMode="External" Id="rId24"/><Relationship Type="http://schemas.openxmlformats.org/officeDocument/2006/relationships/hyperlink" Target="https://shopee.com.br/search?keyword=fita%20dupla%20face%20fina%20espuma&amp;sortBy=sales" TargetMode="External" Id="rId25"/></Relationships>
</file>

<file path=xl/worksheets/_rels/sheet3.xml.rels><Relationships xmlns="http://schemas.openxmlformats.org/package/2006/relationships"><Relationship Type="http://schemas.openxmlformats.org/officeDocument/2006/relationships/hyperlink" Target="https://www.lcdwiki.com/2.8inch_ESP32-S3_Display" TargetMode="External" Id="rId1"/><Relationship Type="http://schemas.openxmlformats.org/officeDocument/2006/relationships/hyperlink" Target="https://github.com/ngttai/esp32_s3_es3c28p" TargetMode="External" Id="rId2"/><Relationship Type="http://schemas.openxmlformats.org/officeDocument/2006/relationships/hyperlink" Target="https://github.com/bmorcelli/Launcher/issues/373" TargetMode="External" Id="rId3"/><Relationship Type="http://schemas.openxmlformats.org/officeDocument/2006/relationships/hyperlink" Target="https://github.com/BruceDevices/firmware/pull/2178" TargetMode="External" Id="rId4"/><Relationship Type="http://schemas.openxmlformats.org/officeDocument/2006/relationships/hyperlink" Target="https://www.alibaba.com/product-detail/ES3C28P-ES3N28P-2-8-inch-ESP32_1601603512242.html" TargetMode="External" Id="rId5"/><Relationship Type="http://schemas.openxmlformats.org/officeDocument/2006/relationships/hyperlink" Target="https://lista.mercadolivre.com.br/bateria-3.7v-1000mah" TargetMode="External" Id="rId6"/><Relationship Type="http://schemas.openxmlformats.org/officeDocument/2006/relationships/hyperlink" Target="https://lista.mercadolivre.com.br/alto-falante-8-ohms-2w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4" customWidth="1" min="2" max="2"/>
    <col width="6" customWidth="1" min="3" max="3"/>
    <col width="11" customWidth="1" min="4" max="4"/>
    <col width="40" customWidth="1" min="5" max="5"/>
    <col width="46" customWidth="1" min="6" max="6"/>
    <col width="18" customWidth="1" min="7" max="7"/>
    <col width="18" customWidth="1" min="8" max="8"/>
    <col width="20" customWidth="1" min="9" max="9"/>
    <col width="30" customWidth="1" min="10" max="10"/>
    <col width="13" customWidth="1" min="11" max="11"/>
    <col width="13" customWidth="1" min="12" max="12"/>
    <col width="40" customWidth="1" min="13" max="13"/>
  </cols>
  <sheetData>
    <row r="1">
      <c r="A1" s="1" t="inlineStr">
        <is>
          <t>TubaBot v3 (ES3C28P) — lista de materiais por unidade (Brasil)</t>
        </is>
      </c>
    </row>
    <row r="2" ht="62" customHeight="1">
      <c r="A2" s="2" t="inlineStr">
        <is>
          <t>Preços em R$ são FAIXAS ESTIMADAS (out/2026) a partir de preços internacionais pesquisados. As páginas do Mercado Livre e da Shopee não puderam ser abertas deste ambiente: os links levam a buscas já filtradas por 'menor preço' e por 'mais vendidos/relevantes' (os anúncios com mais avaliações). Confira no anúncio: nota ≥ 4,5, mais de 50 vendas e a especificação da coluna 'Conferir no anúncio'. Lite = sem bateria; Pro = com bateria.</t>
        </is>
      </c>
    </row>
    <row r="4" ht="34" customHeight="1">
      <c r="A4" s="3" t="inlineStr">
        <is>
          <t>#</t>
        </is>
      </c>
      <c r="B4" s="3" t="inlineStr">
        <is>
          <t>Item</t>
        </is>
      </c>
      <c r="C4" s="3" t="inlineStr">
        <is>
          <t>Qtd</t>
        </is>
      </c>
      <c r="D4" s="3" t="inlineStr">
        <is>
          <t>Lite / Pro</t>
        </is>
      </c>
      <c r="E4" s="3" t="inlineStr">
        <is>
          <t>Especificação exata</t>
        </is>
      </c>
      <c r="F4" s="3" t="inlineStr">
        <is>
          <t>Conferir no anúncio</t>
        </is>
      </c>
      <c r="G4" s="3" t="inlineStr">
        <is>
          <t>Mercado Livre — menor preço</t>
        </is>
      </c>
      <c r="H4" s="3" t="inlineStr">
        <is>
          <t>Mercado Livre — mais relevantes</t>
        </is>
      </c>
      <c r="I4" s="3" t="inlineStr">
        <is>
          <t>Shopee — mais vendidos</t>
        </is>
      </c>
      <c r="J4" s="3" t="inlineStr">
        <is>
          <t>Outra fonte (referência)</t>
        </is>
      </c>
      <c r="K4" s="3" t="inlineStr">
        <is>
          <t>Preço mín. estimado (R$)</t>
        </is>
      </c>
      <c r="L4" s="3" t="inlineStr">
        <is>
          <t>Preço máx. estimado (R$)</t>
        </is>
      </c>
      <c r="M4" s="3" t="inlineStr">
        <is>
          <t>Observações</t>
        </is>
      </c>
    </row>
    <row r="5" ht="96" customHeight="1">
      <c r="A5" s="4" t="n">
        <v>1</v>
      </c>
      <c r="B5" s="4" t="inlineStr">
        <is>
          <t>Placa ES3C28P — ESP32-S3 + tela IPS 2,8" 240×320 com TOQUE CAPACITIVO</t>
        </is>
      </c>
      <c r="C5" s="4" t="n">
        <v>1</v>
      </c>
      <c r="D5" s="4" t="inlineStr">
        <is>
          <t>Lite e Pro</t>
        </is>
      </c>
      <c r="E5" s="4" t="inlineStr">
        <is>
          <t>ESP32-S3 N16R8 (16 MB flash, 8 MB PSRAM), ILI9341V, toque FT6336G, codec ES8311 + amplificador + microfone, conector de alto-falante, conector de bateria com carregador TP4054, USB-C</t>
        </is>
      </c>
      <c r="F5" s="4" t="inlineStr">
        <is>
          <t>Modelo exato ES3C28P (o 'C' = capacitivo). NÃO comprar ES3N28P (sem toque) nem a 'ESP32-S3-Touch-LCD-2.8' da Waveshare (outra placa). A foto deve mostrar os conectores SPEAKER e BAT.</t>
        </is>
      </c>
      <c r="G5" s="5" t="inlineStr">
        <is>
          <t>ML · menor preço</t>
        </is>
      </c>
      <c r="H5" s="5" t="inlineStr">
        <is>
          <t>ML · relevantes</t>
        </is>
      </c>
      <c r="I5" s="5" t="inlineStr">
        <is>
          <t>Shopee · mais vendidos</t>
        </is>
      </c>
      <c r="J5" s="5" t="inlineStr">
        <is>
          <t>AliExpress — anúncio comprado (Electree Store, variante With Touch, With Speaker)</t>
        </is>
      </c>
      <c r="K5" s="6" t="n">
        <v>100</v>
      </c>
      <c r="L5" s="6" t="n">
        <v>180</v>
      </c>
      <c r="M5" s="4" t="inlineStr">
        <is>
          <t>Comprada no AliExpress por R$ 105,93 (out/2026, oferta de 1ª compra, frete grátis Choice) — variante 'With Touch, With Speaker' = ES3C28P. Anúncio confirma N16R8, ILI9341V SPI, D-FT6336G I2C, alto-falante 1,5 W/8 Ω ou 2 W/4 Ω, bateria LiPo 3,7 V 1,25 mm.</t>
        </is>
      </c>
    </row>
    <row r="6" ht="96" customHeight="1">
      <c r="A6" s="4" t="n">
        <v>2</v>
      </c>
      <c r="B6" s="4" t="inlineStr">
        <is>
          <t>Alto-falante 8 Ω 1,5–2 W (ou 4 Ω 2 W), pequeno</t>
        </is>
      </c>
      <c r="C6" s="4" t="n">
        <v>1</v>
      </c>
      <c r="D6" s="4" t="inlineStr">
        <is>
          <t>Lite e Pro</t>
        </is>
      </c>
      <c r="E6" s="4" t="inlineStr">
        <is>
          <t>Cápsula 28–40 mm ou retangular 20×30 mm; 8 Ω 1,5 W ou 4 Ω 2 W (valores da LCDWIKI)</t>
        </is>
      </c>
      <c r="F6" s="4" t="inlineStr">
        <is>
          <t>Impedância e potência; já com fios. Confira o plugue do conector SPEAKER da sua placa (MX1.25 ou PH2.0) — se não bater, use o kit de rabichos.</t>
        </is>
      </c>
      <c r="G6" s="5" t="inlineStr">
        <is>
          <t>ML · menor preço</t>
        </is>
      </c>
      <c r="H6" s="5" t="inlineStr">
        <is>
          <t>ML · relevantes</t>
        </is>
      </c>
      <c r="I6" s="5" t="inlineStr">
        <is>
          <t>Shopee · mais vendidos</t>
        </is>
      </c>
      <c r="J6" s="5" t="inlineStr">
        <is>
          <t>Busca geral ML (alto-falante 8 Ω 2 W)</t>
        </is>
      </c>
      <c r="K6" s="6" t="n">
        <v>8</v>
      </c>
      <c r="L6" s="6" t="n">
        <v>25</v>
      </c>
      <c r="M6" s="4" t="inlineStr">
        <is>
          <t>Kits com 2–5 unidades costumam custar o mesmo que uma.</t>
        </is>
      </c>
    </row>
    <row r="7" ht="96" customHeight="1">
      <c r="A7" s="7" t="n">
        <v>3</v>
      </c>
      <c r="B7" s="7" t="inlineStr">
        <is>
          <t>Bateria LiPo 3,7 V 1000–1500 mAh</t>
        </is>
      </c>
      <c r="C7" s="7" t="n">
        <v>1</v>
      </c>
      <c r="D7" s="7" t="inlineStr">
        <is>
          <t>só Pro</t>
        </is>
      </c>
      <c r="E7" s="7" t="inlineStr">
        <is>
          <t>LiPo 1S 3,7 V com proteção (PCM); 1000 a 1500 mAh; espessura conforme o corpo (ex.: 103040, 803450)</t>
        </is>
      </c>
      <c r="F7" s="7" t="inlineStr">
        <is>
          <t>COM proteção; tamanho que caiba no corpo; plugue compatível com o conector BAT (MX1.25 ou PH2.0). Antes de plugar, confira a polaridade com o multímetro.</t>
        </is>
      </c>
      <c r="G7" s="8" t="inlineStr">
        <is>
          <t>ML · menor preço</t>
        </is>
      </c>
      <c r="H7" s="8" t="inlineStr">
        <is>
          <t>ML · relevantes</t>
        </is>
      </c>
      <c r="I7" s="8" t="inlineStr">
        <is>
          <t>Shopee · mais vendidos</t>
        </is>
      </c>
      <c r="J7" s="8" t="inlineStr">
        <is>
          <t>Busca geral ML (bateria 3,7 V 1000 mAh)</t>
        </is>
      </c>
      <c r="K7" s="9" t="n">
        <v>25</v>
      </c>
      <c r="L7" s="9" t="n">
        <v>55</v>
      </c>
      <c r="M7" s="7" t="inlineStr">
        <is>
          <t>O carregador da placa (TP4054) carrega a até ~0,5 A: 1000–1500 mAh carregam em 2–4 h.</t>
        </is>
      </c>
    </row>
    <row r="8" ht="96" customHeight="1">
      <c r="A8" s="4" t="n">
        <v>4</v>
      </c>
      <c r="B8" s="4" t="inlineStr">
        <is>
          <t>Kit de rabichos MX1.25 e PH2.0 de 2 vias</t>
        </is>
      </c>
      <c r="C8" s="4" t="n">
        <v>1</v>
      </c>
      <c r="D8" s="4" t="inlineStr">
        <is>
          <t>Lite e Pro</t>
        </is>
      </c>
      <c r="E8" s="4" t="inlineStr">
        <is>
          <t>Conectores 2 vias com fio (passo 1,25 mm e 2,0 mm)</t>
        </is>
      </c>
      <c r="F8" s="4" t="inlineStr">
        <is>
          <t>Um kit com os dois passos resolve qualquer diferença entre placa, alto-falante e bateria.</t>
        </is>
      </c>
      <c r="G8" s="5" t="inlineStr">
        <is>
          <t>ML · menor preço</t>
        </is>
      </c>
      <c r="H8" s="5" t="inlineStr">
        <is>
          <t>ML · relevantes</t>
        </is>
      </c>
      <c r="I8" s="5" t="inlineStr">
        <is>
          <t>Shopee · mais vendidos</t>
        </is>
      </c>
      <c r="J8" s="4" t="n"/>
      <c r="K8" s="6" t="n">
        <v>12</v>
      </c>
      <c r="L8" s="6" t="n">
        <v>35</v>
      </c>
      <c r="M8" s="4" t="inlineStr">
        <is>
          <t>Exige solda simples (o ferro da v1 serve). Serve para muitas unidades.</t>
        </is>
      </c>
    </row>
    <row r="9" ht="96" customHeight="1">
      <c r="A9" s="4" t="n">
        <v>5</v>
      </c>
      <c r="B9" s="4" t="inlineStr">
        <is>
          <t>Filamento PLA 1,75 mm na cor do corpo (ou impressão sob encomenda)</t>
        </is>
      </c>
      <c r="C9" s="4" t="n">
        <v>1</v>
      </c>
      <c r="D9" s="4" t="inlineStr">
        <is>
          <t>Lite e Pro</t>
        </is>
      </c>
      <c r="E9" s="4" t="inlineStr">
        <is>
          <t>PLA 1 kg nas cores do produto: vermelho, azul, branco ou grafite/preto</t>
        </is>
      </c>
      <c r="F9" s="4" t="inlineStr">
        <is>
          <t>PLA de marca com boas avaliações, na cor da variante. Serviço: envie o STL do corpo do TubaBot.</t>
        </is>
      </c>
      <c r="G9" s="5" t="inlineStr">
        <is>
          <t>ML · menor preço</t>
        </is>
      </c>
      <c r="H9" s="5" t="inlineStr">
        <is>
          <t>ML · relevantes</t>
        </is>
      </c>
      <c r="I9" s="5" t="inlineStr">
        <is>
          <t>Shopee · mais vendidos</t>
        </is>
      </c>
      <c r="J9" s="5" t="inlineStr">
        <is>
          <t>Filamento PLA — busca ML</t>
        </is>
      </c>
      <c r="K9" s="6" t="n">
        <v>15</v>
      </c>
      <c r="L9" s="6" t="n">
        <v>120</v>
      </c>
      <c r="M9" s="4" t="inlineStr">
        <is>
          <t>Um corpo usa ~40–80 g: 1 kg rende vários TubaBots (mínimo = custo por unidade).</t>
        </is>
      </c>
    </row>
    <row r="10" ht="96" customHeight="1">
      <c r="A10" s="4" t="n">
        <v>6</v>
      </c>
      <c r="B10" s="4" t="inlineStr">
        <is>
          <t>Parafusos M2 × 6 mm (ou M2,5) + porcas/insertos</t>
        </is>
      </c>
      <c r="C10" s="4" t="n">
        <v>4</v>
      </c>
      <c r="D10" s="4" t="inlineStr">
        <is>
          <t>Lite e Pro</t>
        </is>
      </c>
      <c r="E10" s="4" t="inlineStr">
        <is>
          <t>Para os 4 furos da placa ES3C28P</t>
        </is>
      </c>
      <c r="F10" s="4" t="inlineStr">
        <is>
          <t>Confira o diâmetro dos furos da sua placa (M2 ou M2,5).</t>
        </is>
      </c>
      <c r="G10" s="5" t="inlineStr">
        <is>
          <t>ML · menor preço</t>
        </is>
      </c>
      <c r="H10" s="5" t="inlineStr">
        <is>
          <t>ML · relevantes</t>
        </is>
      </c>
      <c r="I10" s="5" t="inlineStr">
        <is>
          <t>Shopee · mais vendidos</t>
        </is>
      </c>
      <c r="J10" s="4" t="n"/>
      <c r="K10" s="6" t="n">
        <v>0.5</v>
      </c>
      <c r="L10" s="6" t="n">
        <v>4</v>
      </c>
      <c r="M10" s="4" t="inlineStr">
        <is>
          <t>Kits sortidos M2/M2,5 servem para muitas unidades (preço por parafuso).</t>
        </is>
      </c>
    </row>
    <row r="11" ht="96" customHeight="1">
      <c r="A11" s="7" t="n">
        <v>7</v>
      </c>
      <c r="B11" s="7" t="inlineStr">
        <is>
          <t>Fita dupla-face de espuma fina</t>
        </is>
      </c>
      <c r="C11" s="7" t="n">
        <v>1</v>
      </c>
      <c r="D11" s="7" t="inlineStr">
        <is>
          <t>só Pro</t>
        </is>
      </c>
      <c r="E11" s="7" t="inlineStr">
        <is>
          <t>Fita dupla-face de espuma, 0,8–1 mm, 12 mm</t>
        </is>
      </c>
      <c r="F11" s="7" t="inlineStr">
        <is>
          <t>Espessura ≤ 1 mm.</t>
        </is>
      </c>
      <c r="G11" s="8" t="inlineStr">
        <is>
          <t>ML · menor preço</t>
        </is>
      </c>
      <c r="H11" s="8" t="inlineStr">
        <is>
          <t>ML · relevantes</t>
        </is>
      </c>
      <c r="I11" s="8" t="inlineStr">
        <is>
          <t>Shopee · mais vendidos</t>
        </is>
      </c>
      <c r="J11" s="7" t="n"/>
      <c r="K11" s="9" t="n">
        <v>2</v>
      </c>
      <c r="L11" s="9" t="n">
        <v>20</v>
      </c>
      <c r="M11" s="7" t="inlineStr">
        <is>
          <t>Prende a bateria no corpo, longe de cantos vivos.</t>
        </is>
      </c>
    </row>
    <row r="12">
      <c r="J12" s="10" t="inlineStr">
        <is>
          <t>TOTAL estimado — TubaBot Lite</t>
        </is>
      </c>
      <c r="K12" s="11">
        <f>C5*K5+C6*K6+C8*K8+C9*K9+C10*K10</f>
        <v/>
      </c>
      <c r="L12" s="11">
        <f>C5*L5+C6*L6+C8*L8+C9*L9+C10*L10</f>
        <v/>
      </c>
    </row>
    <row r="13">
      <c r="J13" s="10" t="inlineStr">
        <is>
          <t>TOTAL estimado — TubaBot Pro</t>
        </is>
      </c>
      <c r="K13" s="11">
        <f>C5*K5+C6*K6+C7*K7+C8*K8+C9*K9+C10*K10+C11*K11</f>
        <v/>
      </c>
      <c r="L13" s="11">
        <f>C5*L5+C6*L6+C7*L7+C8*L8+C9*L9+C10*L10+C11*L11</f>
        <v/>
      </c>
    </row>
    <row r="15">
      <c r="A15" s="12" t="inlineStr">
        <is>
          <t>Peças da v1 (não comprar)</t>
        </is>
      </c>
    </row>
    <row r="16">
      <c r="A16" s="13" t="inlineStr">
        <is>
          <t>#</t>
        </is>
      </c>
      <c r="B16" s="13" t="inlineStr">
        <is>
          <t>Item</t>
        </is>
      </c>
      <c r="C16" s="13" t="inlineStr">
        <is>
          <t>Situação</t>
        </is>
      </c>
      <c r="D16" s="13" t="inlineStr">
        <is>
          <t>Uso na v3</t>
        </is>
      </c>
    </row>
    <row r="17">
      <c r="A17" s="14" t="n">
        <v>1</v>
      </c>
      <c r="B17" s="14" t="inlineStr">
        <is>
          <t>Cabo USB-C de dados (Ugreen US287)</t>
        </is>
      </c>
      <c r="C17" s="14" t="inlineStr">
        <is>
          <t>JÁ TENHO (v1)</t>
        </is>
      </c>
      <c r="D17" s="14" t="inlineStr">
        <is>
          <t>Gravação, alimentação e carga (Pro).</t>
        </is>
      </c>
    </row>
    <row r="18">
      <c r="A18" s="14" t="n">
        <v>2</v>
      </c>
      <c r="B18" s="14" t="inlineStr">
        <is>
          <t>Multímetro Kapbom DT-9205A</t>
        </is>
      </c>
      <c r="C18" s="14" t="inlineStr">
        <is>
          <t>JÁ TENHO (v1)</t>
        </is>
      </c>
      <c r="D18" s="14" t="inlineStr">
        <is>
          <t>Conferir a polaridade da bateria.</t>
        </is>
      </c>
    </row>
    <row r="19">
      <c r="A19" s="14" t="n">
        <v>3</v>
      </c>
      <c r="B19" s="14" t="inlineStr">
        <is>
          <t>Ferro de solda 60 W + estanho</t>
        </is>
      </c>
      <c r="C19" s="14" t="inlineStr">
        <is>
          <t>JÁ TENHO (v1)</t>
        </is>
      </c>
      <c r="D19" s="14" t="inlineStr">
        <is>
          <t>Só para adaptar plugues.</t>
        </is>
      </c>
    </row>
    <row r="20">
      <c r="A20" s="14" t="n">
        <v>4</v>
      </c>
      <c r="B20" s="14" t="inlineStr">
        <is>
          <t>Ímãs de neodímio 8×2 mm</t>
        </is>
      </c>
      <c r="C20" s="14" t="inlineStr">
        <is>
          <t>JÁ TENHO (v1)</t>
        </is>
      </c>
      <c r="D20" s="14" t="inlineStr">
        <is>
          <t>Opcional: fecho do corpo.</t>
        </is>
      </c>
    </row>
    <row r="21">
      <c r="A21" s="14" t="n">
        <v>5</v>
      </c>
      <c r="B21" s="14" t="inlineStr">
        <is>
          <t>ESP32-C3, OLED 0,96", TTP223, buzzer, motor MV50</t>
        </is>
      </c>
      <c r="C21" s="14" t="inlineStr">
        <is>
          <t>NÃO USADOS na v3</t>
        </is>
      </c>
      <c r="D21" s="14" t="inlineStr">
        <is>
          <t>Toda a interação agora é pela tela de toque.</t>
        </is>
      </c>
    </row>
  </sheetData>
  <mergeCells count="1">
    <mergeCell ref="A2:M2"/>
  </mergeCells>
  <hyperlinks>
    <hyperlink xmlns:r="http://schemas.openxmlformats.org/officeDocument/2006/relationships" ref="G5" r:id="rId1"/>
    <hyperlink xmlns:r="http://schemas.openxmlformats.org/officeDocument/2006/relationships" ref="H5" r:id="rId2"/>
    <hyperlink xmlns:r="http://schemas.openxmlformats.org/officeDocument/2006/relationships" ref="I5" r:id="rId3"/>
    <hyperlink xmlns:r="http://schemas.openxmlformats.org/officeDocument/2006/relationships" ref="J5" r:id="rId4"/>
    <hyperlink xmlns:r="http://schemas.openxmlformats.org/officeDocument/2006/relationships" ref="G6" r:id="rId5"/>
    <hyperlink xmlns:r="http://schemas.openxmlformats.org/officeDocument/2006/relationships" ref="H6" r:id="rId6"/>
    <hyperlink xmlns:r="http://schemas.openxmlformats.org/officeDocument/2006/relationships" ref="I6" r:id="rId7"/>
    <hyperlink xmlns:r="http://schemas.openxmlformats.org/officeDocument/2006/relationships" ref="J6" r:id="rId8"/>
    <hyperlink xmlns:r="http://schemas.openxmlformats.org/officeDocument/2006/relationships" ref="G7" r:id="rId9"/>
    <hyperlink xmlns:r="http://schemas.openxmlformats.org/officeDocument/2006/relationships" ref="H7" r:id="rId10"/>
    <hyperlink xmlns:r="http://schemas.openxmlformats.org/officeDocument/2006/relationships" ref="I7" r:id="rId11"/>
    <hyperlink xmlns:r="http://schemas.openxmlformats.org/officeDocument/2006/relationships" ref="J7" r:id="rId12"/>
    <hyperlink xmlns:r="http://schemas.openxmlformats.org/officeDocument/2006/relationships" ref="G8" r:id="rId13"/>
    <hyperlink xmlns:r="http://schemas.openxmlformats.org/officeDocument/2006/relationships" ref="H8" r:id="rId14"/>
    <hyperlink xmlns:r="http://schemas.openxmlformats.org/officeDocument/2006/relationships" ref="I8" r:id="rId15"/>
    <hyperlink xmlns:r="http://schemas.openxmlformats.org/officeDocument/2006/relationships" ref="G9" r:id="rId16"/>
    <hyperlink xmlns:r="http://schemas.openxmlformats.org/officeDocument/2006/relationships" ref="H9" r:id="rId17"/>
    <hyperlink xmlns:r="http://schemas.openxmlformats.org/officeDocument/2006/relationships" ref="I9" r:id="rId18"/>
    <hyperlink xmlns:r="http://schemas.openxmlformats.org/officeDocument/2006/relationships" ref="J9" r:id="rId19"/>
    <hyperlink xmlns:r="http://schemas.openxmlformats.org/officeDocument/2006/relationships" ref="G10" r:id="rId20"/>
    <hyperlink xmlns:r="http://schemas.openxmlformats.org/officeDocument/2006/relationships" ref="H10" r:id="rId21"/>
    <hyperlink xmlns:r="http://schemas.openxmlformats.org/officeDocument/2006/relationships" ref="I10" r:id="rId22"/>
    <hyperlink xmlns:r="http://schemas.openxmlformats.org/officeDocument/2006/relationships" ref="G11" r:id="rId23"/>
    <hyperlink xmlns:r="http://schemas.openxmlformats.org/officeDocument/2006/relationships" ref="H11" r:id="rId24"/>
    <hyperlink xmlns:r="http://schemas.openxmlformats.org/officeDocument/2006/relationships" ref="I11" r:id="rId2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70" customWidth="1" min="1" max="1"/>
    <col width="60" customWidth="1" min="2" max="2"/>
  </cols>
  <sheetData>
    <row r="1">
      <c r="A1" s="15" t="inlineStr">
        <is>
          <t>Critério</t>
        </is>
      </c>
      <c r="B1" s="15" t="inlineStr">
        <is>
          <t>Por quê</t>
        </is>
      </c>
    </row>
    <row r="2">
      <c r="A2" s="2" t="inlineStr">
        <is>
          <t>Reputação do vendedor verde (ML) / 'Indicado' ou 'Loja oficial' (Shopee)</t>
        </is>
      </c>
      <c r="B2" s="2" t="inlineStr">
        <is>
          <t>Menor chance de produto errado e devolução fácil</t>
        </is>
      </c>
    </row>
    <row r="3">
      <c r="A3" s="2" t="inlineStr">
        <is>
          <t>Nota ≥ 4,5 com 50+ avaliações; leia as avaliações com foto</t>
        </is>
      </c>
      <c r="B3" s="2" t="inlineStr">
        <is>
          <t>Confirma que chega o item da foto</t>
        </is>
      </c>
    </row>
    <row r="4">
      <c r="A4" s="2" t="inlineStr">
        <is>
          <t>Placa: o nome ES3C28P aparece no anúncio/placa (C = toque capacitivo)</t>
        </is>
      </c>
      <c r="B4" s="2" t="inlineStr">
        <is>
          <t>ES3N28P não tem toque; a Waveshare 2.8 é outra placa, com outros pinos</t>
        </is>
      </c>
    </row>
    <row r="5">
      <c r="A5" s="2" t="inlineStr">
        <is>
          <t>Bateria (Pro): 'com proteção' e tamanho que caiba no corpo</t>
        </is>
      </c>
      <c r="B5" s="2" t="inlineStr">
        <is>
          <t>Segurança e encaixe</t>
        </is>
      </c>
    </row>
    <row r="6">
      <c r="A6" s="2" t="inlineStr">
        <is>
          <t>Conectores SPEAKER e BAT: pergunte ao vendedor se são MX1.25 ou PH2.0</t>
        </is>
      </c>
      <c r="B6" s="2" t="inlineStr">
        <is>
          <t>Os dois são comuns nesta família de placas</t>
        </is>
      </c>
    </row>
    <row r="7">
      <c r="A7" s="2" t="inlineStr">
        <is>
          <t>Prefira 'Full' (ML) ou envio nacional</t>
        </is>
      </c>
      <c r="B7" s="2" t="inlineStr">
        <is>
          <t>Chega mais rápido, sem taxa de importação surpresa</t>
        </is>
      </c>
    </row>
    <row r="8">
      <c r="A8" s="2" t="inlineStr">
        <is>
          <t>Para importados: Remessa Conforme ativo</t>
        </is>
      </c>
      <c r="B8" s="2" t="inlineStr">
        <is>
          <t>Imposto já incluso no preço exibido</t>
        </is>
      </c>
    </row>
    <row r="9">
      <c r="A9" s="2" t="inlineStr">
        <is>
          <t>Compare preço + frete; kits de alto-falantes/rabichos/parafusos compensam</t>
        </is>
      </c>
      <c r="B9" s="2" t="inlineStr">
        <is>
          <t>Sobra peça para as próximas unidades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70" customWidth="1" min="2" max="2"/>
    <col width="60" customWidth="1" min="3" max="3"/>
  </cols>
  <sheetData>
    <row r="1">
      <c r="A1" s="15" t="inlineStr">
        <is>
          <t>Fonte</t>
        </is>
      </c>
      <c r="B1" s="15" t="inlineStr">
        <is>
          <t>Link</t>
        </is>
      </c>
      <c r="C1" s="15" t="inlineStr">
        <is>
          <t>O que foi usado</t>
        </is>
      </c>
    </row>
    <row r="2">
      <c r="A2" s="2" t="inlineStr">
        <is>
          <t>LCDWIKI — 2.8inch ESP32-S3 Display (ES3C28P)</t>
        </is>
      </c>
      <c r="B2" s="16" t="inlineStr">
        <is>
          <t>https://www.lcdwiki.com/2.8inch_ESP32-S3_Display</t>
        </is>
      </c>
      <c r="C2" s="2" t="inlineStr">
        <is>
          <t>especificações e pinos</t>
        </is>
      </c>
    </row>
    <row r="3">
      <c r="A3" s="2" t="inlineStr">
        <is>
          <t>BSP ngttai/esp32_s3_es3c28p</t>
        </is>
      </c>
      <c r="B3" s="16" t="inlineStr">
        <is>
          <t>https://github.com/ngttai/esp32_s3_es3c28p</t>
        </is>
      </c>
      <c r="C3" s="2" t="inlineStr">
        <is>
          <t>mapa de pinos, alto-falante 8 Ω 1,5 W / 4 Ω 2 W, bateria com TP4054</t>
        </is>
      </c>
    </row>
    <row r="4">
      <c r="A4" s="2" t="inlineStr">
        <is>
          <t>Launcher — perfil ES3C28P</t>
        </is>
      </c>
      <c r="B4" s="16" t="inlineStr">
        <is>
          <t>https://github.com/bmorcelli/Launcher/issues/373</t>
        </is>
      </c>
      <c r="C4" s="2" t="inlineStr">
        <is>
          <t>pinos de áudio (I²S) e habilitação do amplificador</t>
        </is>
      </c>
    </row>
    <row r="5">
      <c r="A5" s="2" t="inlineStr">
        <is>
          <t>Bruce firmware — PR ES3C28P</t>
        </is>
      </c>
      <c r="B5" s="16" t="inlineStr">
        <is>
          <t>https://github.com/BruceDevices/firmware/pull/2178</t>
        </is>
      </c>
      <c r="C5" s="2" t="inlineStr">
        <is>
          <t>preço de referência ~US$ 15</t>
        </is>
      </c>
    </row>
    <row r="6">
      <c r="A6" s="2" t="inlineStr">
        <is>
          <t>Alibaba — ES3C28P/ES3N28P</t>
        </is>
      </c>
      <c r="B6" s="16" t="inlineStr">
        <is>
          <t>https://www.alibaba.com/product-detail/ES3C28P-ES3N28P-2-8-inch-ESP32_1601603512242.html</t>
        </is>
      </c>
      <c r="C6" s="2" t="inlineStr">
        <is>
          <t>US$ 12–15 (atacado)</t>
        </is>
      </c>
    </row>
    <row r="7">
      <c r="A7" s="2" t="inlineStr">
        <is>
          <t>Mercado Livre — bateria 3,7 V 1000 mAh</t>
        </is>
      </c>
      <c r="B7" s="16" t="inlineStr">
        <is>
          <t>https://lista.mercadolivre.com.br/bateria-3.7v-1000mah</t>
        </is>
      </c>
      <c r="C7" s="2" t="inlineStr">
        <is>
          <t>faixa de preço de baterias</t>
        </is>
      </c>
    </row>
    <row r="8">
      <c r="A8" s="2" t="inlineStr">
        <is>
          <t>Mercado Livre — alto-falante 8 Ω 2 W</t>
        </is>
      </c>
      <c r="B8" s="16" t="inlineStr">
        <is>
          <t>https://lista.mercadolivre.com.br/alto-falante-8-ohms-2w</t>
        </is>
      </c>
      <c r="C8" s="2" t="inlineStr">
        <is>
          <t>faixa de preço de alto-falantes</t>
        </is>
      </c>
    </row>
    <row r="9">
      <c r="A9" s="2" t="inlineStr">
        <is>
          <t>Nota</t>
        </is>
      </c>
      <c r="B9" s="2" t="inlineStr"/>
      <c r="C9" s="2" t="inlineStr">
        <is>
          <t>Preços em R$ estimados em 15/10/2026 (câmbio ~R$ 5,4–5,6/US$ + frete/imposto para importados). Confirme no anúncio antes de comprar.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2026-10-15T11:42:02Z</dcterms:created>
  <dcterms:modified xmlns:dcterms="http://purl.org/dc/terms/" xmlns:xsi="http://www.w3.org/2001/XMLSchema-instance" xsi:type="dcterms:W3CDTF">2026-10-15T11:42:02Z</dcterms:modified>
</cp:coreProperties>
</file>